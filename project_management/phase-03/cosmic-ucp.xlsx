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455cc8c86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 Cases и COSMIC" sheetId="1" r:id="R89b0605edf514706"/>
    <x:sheet xmlns:r="http://schemas.openxmlformats.org/officeDocument/2006/relationships" name="UCP факторы" sheetId="2" r:id="R74ffa651c4db431c"/>
    <x:sheet xmlns:r="http://schemas.openxmlformats.org/officeDocument/2006/relationships" name="Сравнение оценок" sheetId="3" r:id="Rc26451051242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247"/>
      <x:name val="Arial"/>
    </x:font>
    <x:font>
      <x:b/>
      <x:sz val="15"/>
      <x:color rgb="FF000000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163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7477737f546c8" /><Relationship Type="http://schemas.openxmlformats.org/officeDocument/2006/relationships/theme" Target="/xl/theme/theme1.xml" Id="R3c4e656236304d56" /><Relationship Type="http://schemas.openxmlformats.org/officeDocument/2006/relationships/sharedStrings" Target="/xl/sharedStrings.xml" Id="Rd86806bb1bf14006" /><Relationship Type="http://schemas.openxmlformats.org/officeDocument/2006/relationships/worksheet" Target="/xl/worksheets/sheet1.xml" Id="R89b0605edf514706" /><Relationship Type="http://schemas.openxmlformats.org/officeDocument/2006/relationships/worksheet" Target="/xl/worksheets/sheet2.xml" Id="R74ffa651c4db431c" /><Relationship Type="http://schemas.openxmlformats.org/officeDocument/2006/relationships/worksheet" Target="/xl/worksheets/sheet3.xml" Id="Rc2645105124244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0" hidden="0" customWidth="1"/>
    <x:col min="3" max="3" width="24" hidden="0" customWidth="1"/>
    <x:col min="4" max="4" width="14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9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5" hidden="0" customWidth="1"/>
    <x:col min="15" max="15" width="60" hidden="0" customWidth="1"/>
    <x:col min="16" max="16" width="6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9" customHeight="1">
      <x:c r="A2" s="3" t="str">
        <x:v>Фаза 3 Use Cases и COSMIC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E, X, R, W — движения уникальных групп данных через границу сервиса бронирования.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1" customHeight="1">
      <x:c r="A6" s="6" t="str">
        <x:v>ID</x:v>
      </x:c>
      <x:c r="B6" s="6" t="str">
        <x:v>Use Case</x:v>
      </x:c>
      <x:c r="C6" s="6" t="str">
        <x:v>Актор</x:v>
      </x:c>
      <x:c r="D6" s="6" t="str">
        <x:v>Транзакции</x:v>
      </x:c>
      <x:c r="E6" s="6" t="str">
        <x:v>E</x:v>
      </x:c>
      <x:c r="F6" s="6" t="str">
        <x:v>X</x:v>
      </x:c>
      <x:c r="G6" s="6" t="str">
        <x:v>R</x:v>
      </x:c>
      <x:c r="H6" s="6" t="str">
        <x:v>W</x:v>
      </x:c>
      <x:c r="I6" s="6" t="str">
        <x:v>CFP</x:v>
      </x:c>
      <x:c r="J6" s="6" t="str">
        <x:v>Вес UCP</x:v>
      </x:c>
      <x:c r="K6" s="6" t="str">
        <x:v>Мартин, ч</x:v>
      </x:c>
      <x:c r="L6" s="6" t="str">
        <x:v>Никита, ч</x:v>
      </x:c>
      <x:c r="M6" s="6" t="str">
        <x:v>Акнур, ч</x:v>
      </x:c>
      <x:c r="N6" s="6" t="str">
        <x:v>Медиана, ч</x:v>
      </x:c>
      <x:c r="O6" s="6" t="str">
        <x:v>Основной поток</x:v>
      </x:c>
      <x:c r="P6" s="6" t="str">
        <x:v>Исключение</x:v>
      </x:c>
      <x:c r="Q6" s="2"/>
    </x:row>
    <x:row r="7" ht="49" customHeight="1">
      <x:c r="A7" s="2" t="str">
        <x:v>UC01</x:v>
      </x:c>
      <x:c r="B7" s="2" t="str">
        <x:v>Войти через учётную запись вуза</x:v>
      </x:c>
      <x:c r="C7" s="2" t="str">
        <x:v>Студент/сотрудник</x:v>
      </x:c>
      <x:c r="D7" s="2" t="n">
        <x:v>3</x:v>
      </x:c>
      <x:c r="E7" s="2" t="n">
        <x:v>1</x:v>
      </x:c>
      <x:c r="F7" s="2" t="n">
        <x:v>1</x:v>
      </x:c>
      <x:c r="G7" s="2" t="n">
        <x:v>1</x:v>
      </x:c>
      <x:c r="H7" s="2" t="n">
        <x:v>0</x:v>
      </x:c>
      <x:c r="I7" s="2" t="n">
        <x:f>SUM(E7:H7)</x:f>
        <x:v>3</x:v>
      </x:c>
      <x:c r="J7" s="2" t="n">
        <x:v>5</x:v>
      </x:c>
      <x:c r="K7" s="2" t="n">
        <x:v>15</x:v>
      </x:c>
      <x:c r="L7" s="2" t="n">
        <x:v>20</x:v>
      </x:c>
      <x:c r="M7" s="2" t="n">
        <x:v>19</x:v>
      </x:c>
      <x:c r="N7" s="2" t="n">
        <x:f>MEDIAN(K7:M7)</x:f>
        <x:v>19</x:v>
      </x:c>
      <x:c r="O7" s="9" t="str">
        <x:v>Пользователь передаёт удостоверение; сервис проверяет роль и открывает сессию.</x:v>
      </x:c>
      <x:c r="P7" s="9" t="str">
        <x:v>Неверная учётная запись: отказ и повторный вход.</x:v>
      </x:c>
      <x:c r="Q7" s="2"/>
    </x:row>
    <x:row r="8" ht="49" customHeight="1">
      <x:c r="A8" s="2" t="str">
        <x:v>UC02</x:v>
      </x:c>
      <x:c r="B8" s="2" t="str">
        <x:v>Просмотреть каталог оборудования</x:v>
      </x:c>
      <x:c r="C8" s="2" t="str">
        <x:v>Студент/сотрудник</x:v>
      </x:c>
      <x:c r="D8" s="2" t="n">
        <x:v>3</x:v>
      </x:c>
      <x:c r="E8" s="2" t="n">
        <x:v>1</x:v>
      </x:c>
      <x:c r="F8" s="2" t="n">
        <x:v>1</x:v>
      </x:c>
      <x:c r="G8" s="2" t="n">
        <x:v>2</x:v>
      </x:c>
      <x:c r="H8" s="2" t="n">
        <x:v>0</x:v>
      </x:c>
      <x:c r="I8" s="2" t="n">
        <x:f>SUM(E8:H8)</x:f>
        <x:v>4</x:v>
      </x:c>
      <x:c r="J8" s="2" t="n">
        <x:v>5</x:v>
      </x:c>
      <x:c r="K8" s="2" t="n">
        <x:v>24</x:v>
      </x:c>
      <x:c r="L8" s="2" t="n">
        <x:v>20</x:v>
      </x:c>
      <x:c r="M8" s="2" t="n">
        <x:v>25</x:v>
      </x:c>
      <x:c r="N8" s="2" t="n">
        <x:f>MEDIAN(K8:M8)</x:f>
        <x:v>24</x:v>
      </x:c>
      <x:c r="O8" s="9" t="str">
        <x:v>Выбрать категорию, получить карточки и правила выдачи.</x:v>
      </x:c>
      <x:c r="P8" s="9" t="str">
        <x:v>Пустой результат: предложить сбросить фильтр.</x:v>
      </x:c>
      <x:c r="Q8" s="2"/>
    </x:row>
    <x:row r="9" ht="49" customHeight="1">
      <x:c r="A9" s="2" t="str">
        <x:v>UC03</x:v>
      </x:c>
      <x:c r="B9" s="2" t="str">
        <x:v>Найти доступный интервал</x:v>
      </x:c>
      <x:c r="C9" s="2" t="str">
        <x:v>Студент/сотрудник</x:v>
      </x:c>
      <x:c r="D9" s="2" t="n">
        <x:v>5</x:v>
      </x:c>
      <x:c r="E9" s="2" t="n">
        <x:v>1</x:v>
      </x:c>
      <x:c r="F9" s="2" t="n">
        <x:v>1</x:v>
      </x:c>
      <x:c r="G9" s="2" t="n">
        <x:v>3</x:v>
      </x:c>
      <x:c r="H9" s="2" t="n">
        <x:v>0</x:v>
      </x:c>
      <x:c r="I9" s="2" t="n">
        <x:f>SUM(E9:H9)</x:f>
        <x:v>5</x:v>
      </x:c>
      <x:c r="J9" s="2" t="n">
        <x:v>10</x:v>
      </x:c>
      <x:c r="K9" s="2" t="n">
        <x:v>30</x:v>
      </x:c>
      <x:c r="L9" s="2" t="n">
        <x:v>35</x:v>
      </x:c>
      <x:c r="M9" s="2" t="n">
        <x:v>32</x:v>
      </x:c>
      <x:c r="N9" s="2" t="n">
        <x:f>MEDIAN(K9:M9)</x:f>
        <x:v>32</x:v>
      </x:c>
      <x:c r="O9" s="9" t="str">
        <x:v>Указать предмет и даты; получить свободные интервалы.</x:v>
      </x:c>
      <x:c r="P9" s="9" t="str">
        <x:v>Пересечение с бронью: показать ближайшую альтернативу.</x:v>
      </x:c>
      <x:c r="Q9" s="2"/>
    </x:row>
    <x:row r="10" ht="49" customHeight="1">
      <x:c r="A10" s="2" t="str">
        <x:v>UC04</x:v>
      </x:c>
      <x:c r="B10" s="2" t="str">
        <x:v>Создать заявку на бронь</x:v>
      </x:c>
      <x:c r="C10" s="2" t="str">
        <x:v>Студент/сотрудник</x:v>
      </x:c>
      <x:c r="D10" s="2" t="n">
        <x:v>8</x:v>
      </x:c>
      <x:c r="E10" s="2" t="n">
        <x:v>2</x:v>
      </x:c>
      <x:c r="F10" s="2" t="n">
        <x:v>2</x:v>
      </x:c>
      <x:c r="G10" s="2" t="n">
        <x:v>3</x:v>
      </x:c>
      <x:c r="H10" s="2" t="n">
        <x:v>2</x:v>
      </x:c>
      <x:c r="I10" s="2" t="n">
        <x:f>SUM(E10:H10)</x:f>
        <x:v>9</x:v>
      </x:c>
      <x:c r="J10" s="2" t="n">
        <x:v>15</x:v>
      </x:c>
      <x:c r="K10" s="2" t="n">
        <x:v>74</x:v>
      </x:c>
      <x:c r="L10" s="2" t="n">
        <x:v>66</x:v>
      </x:c>
      <x:c r="M10" s="2" t="n">
        <x:v>72</x:v>
      </x:c>
      <x:c r="N10" s="2" t="n">
        <x:f>MEDIAN(K10:M10)</x:f>
        <x:v>72</x:v>
      </x:c>
      <x:c r="O10" s="9" t="str">
        <x:v>Выбрать интервал, подтвердить правила, сохранить бронь и уведомить владельца.</x:v>
      </x:c>
      <x:c r="P10" s="9" t="str">
        <x:v>Коллизия или лимит: отказ с объяснением, без двойной брони.</x:v>
      </x:c>
      <x:c r="Q10" s="2"/>
    </x:row>
    <x:row r="11" ht="49" customHeight="1">
      <x:c r="A11" s="2" t="str">
        <x:v>UC05</x:v>
      </x:c>
      <x:c r="B11" s="2" t="str">
        <x:v>Изменить или отменить бронь</x:v>
      </x:c>
      <x:c r="C11" s="2" t="str">
        <x:v>Студент/сотрудник</x:v>
      </x:c>
      <x:c r="D11" s="2" t="n">
        <x:v>6</x:v>
      </x:c>
      <x:c r="E11" s="2" t="n">
        <x:v>2</x:v>
      </x:c>
      <x:c r="F11" s="2" t="n">
        <x:v>2</x:v>
      </x:c>
      <x:c r="G11" s="2" t="n">
        <x:v>2</x:v>
      </x:c>
      <x:c r="H11" s="2" t="n">
        <x:v>2</x:v>
      </x:c>
      <x:c r="I11" s="2" t="n">
        <x:f>SUM(E11:H11)</x:f>
        <x:v>8</x:v>
      </x:c>
      <x:c r="J11" s="2" t="n">
        <x:v>10</x:v>
      </x:c>
      <x:c r="K11" s="2" t="n">
        <x:v>47</x:v>
      </x:c>
      <x:c r="L11" s="2" t="n">
        <x:v>52</x:v>
      </x:c>
      <x:c r="M11" s="2" t="n">
        <x:v>54</x:v>
      </x:c>
      <x:c r="N11" s="2" t="n">
        <x:f>MEDIAN(K11:M11)</x:f>
        <x:v>52</x:v>
      </x:c>
      <x:c r="O11" s="9" t="str">
        <x:v>Открыть свою бронь, сменить интервал или отменить, обновить статус.</x:v>
      </x:c>
      <x:c r="P11" s="9" t="str">
        <x:v>После начала выдачи изменение запрещено.</x:v>
      </x:c>
      <x:c r="Q11" s="2"/>
    </x:row>
    <x:row r="12" ht="49" customHeight="1">
      <x:c r="A12" s="2" t="str">
        <x:v>UC06</x:v>
      </x:c>
      <x:c r="B12" s="2" t="str">
        <x:v>Посмотреть мои брони</x:v>
      </x:c>
      <x:c r="C12" s="2" t="str">
        <x:v>Студент/сотрудник</x:v>
      </x:c>
      <x:c r="D12" s="2" t="n">
        <x:v>3</x:v>
      </x:c>
      <x:c r="E12" s="2" t="n">
        <x:v>1</x:v>
      </x:c>
      <x:c r="F12" s="2" t="n">
        <x:v>1</x:v>
      </x:c>
      <x:c r="G12" s="2" t="n">
        <x:v>2</x:v>
      </x:c>
      <x:c r="H12" s="2" t="n">
        <x:v>0</x:v>
      </x:c>
      <x:c r="I12" s="2" t="n">
        <x:f>SUM(E12:H12)</x:f>
        <x:v>4</x:v>
      </x:c>
      <x:c r="J12" s="2" t="n">
        <x:v>5</x:v>
      </x:c>
      <x:c r="K12" s="2" t="n">
        <x:v>21</x:v>
      </x:c>
      <x:c r="L12" s="2" t="n">
        <x:v>18</x:v>
      </x:c>
      <x:c r="M12" s="2" t="n">
        <x:v>22</x:v>
      </x:c>
      <x:c r="N12" s="2" t="n">
        <x:f>MEDIAN(K12:M12)</x:f>
        <x:v>21</x:v>
      </x:c>
      <x:c r="O12" s="9" t="str">
        <x:v>Получить список активных и прошлых броней.</x:v>
      </x:c>
      <x:c r="P12" s="9" t="str">
        <x:v>Нет броней: показать пустое состояние.</x:v>
      </x:c>
      <x:c r="Q12" s="2"/>
    </x:row>
    <x:row r="13" ht="49" customHeight="1">
      <x:c r="A13" s="2" t="str">
        <x:v>UC07</x:v>
      </x:c>
      <x:c r="B13" s="2" t="str">
        <x:v>Подтвердить выдачу оборудования</x:v>
      </x:c>
      <x:c r="C13" s="2" t="str">
        <x:v>Сотрудник пункта выдачи</x:v>
      </x:c>
      <x:c r="D13" s="2" t="n">
        <x:v>7</x:v>
      </x:c>
      <x:c r="E13" s="2" t="n">
        <x:v>2</x:v>
      </x:c>
      <x:c r="F13" s="2" t="n">
        <x:v>2</x:v>
      </x:c>
      <x:c r="G13" s="2" t="n">
        <x:v>3</x:v>
      </x:c>
      <x:c r="H13" s="2" t="n">
        <x:v>2</x:v>
      </x:c>
      <x:c r="I13" s="2" t="n">
        <x:f>SUM(E13:H13)</x:f>
        <x:v>9</x:v>
      </x:c>
      <x:c r="J13" s="2" t="n">
        <x:v>10</x:v>
      </x:c>
      <x:c r="K13" s="2" t="n">
        <x:v>58</x:v>
      </x:c>
      <x:c r="L13" s="2" t="n">
        <x:v>52</x:v>
      </x:c>
      <x:c r="M13" s="2" t="n">
        <x:v>57</x:v>
      </x:c>
      <x:c r="N13" s="2" t="n">
        <x:f>MEDIAN(K13:M13)</x:f>
        <x:v>57</x:v>
      </x:c>
      <x:c r="O13" s="9" t="str">
        <x:v>Найти заявку, проверить личность и комплектность, отметить выдачу.</x:v>
      </x:c>
      <x:c r="P13" s="9" t="str">
        <x:v>Неявка или неподходящий статус: выдачу блокировать.</x:v>
      </x:c>
      <x:c r="Q13" s="2"/>
    </x:row>
    <x:row r="14" ht="49" customHeight="1">
      <x:c r="A14" s="2" t="str">
        <x:v>UC08</x:v>
      </x:c>
      <x:c r="B14" s="2" t="str">
        <x:v>Зарегистрировать возврат</x:v>
      </x:c>
      <x:c r="C14" s="2" t="str">
        <x:v>Сотрудник пункта выдачи</x:v>
      </x:c>
      <x:c r="D14" s="2" t="n">
        <x:v>7</x:v>
      </x:c>
      <x:c r="E14" s="2" t="n">
        <x:v>2</x:v>
      </x:c>
      <x:c r="F14" s="2" t="n">
        <x:v>2</x:v>
      </x:c>
      <x:c r="G14" s="2" t="n">
        <x:v>3</x:v>
      </x:c>
      <x:c r="H14" s="2" t="n">
        <x:v>2</x:v>
      </x:c>
      <x:c r="I14" s="2" t="n">
        <x:f>SUM(E14:H14)</x:f>
        <x:v>9</x:v>
      </x:c>
      <x:c r="J14" s="2" t="n">
        <x:v>10</x:v>
      </x:c>
      <x:c r="K14" s="2" t="n">
        <x:v>53</x:v>
      </x:c>
      <x:c r="L14" s="2" t="n">
        <x:v>59</x:v>
      </x:c>
      <x:c r="M14" s="2" t="n">
        <x:v>56</x:v>
      </x:c>
      <x:c r="N14" s="2" t="n">
        <x:f>MEDIAN(K14:M14)</x:f>
        <x:v>56</x:v>
      </x:c>
      <x:c r="O14" s="9" t="str">
        <x:v>Проверить предмет, отметить возврат и доступность.</x:v>
      </x:c>
      <x:c r="P14" s="9" t="str">
        <x:v>Повреждение: отметить инцидент и вывести предмет из доступных.</x:v>
      </x:c>
      <x:c r="Q14" s="2"/>
    </x:row>
    <x:row r="15" ht="49" customHeight="1">
      <x:c r="A15" s="2" t="str">
        <x:v>UC09</x:v>
      </x:c>
      <x:c r="B15" s="2" t="str">
        <x:v>Управлять карточкой и доступностью</x:v>
      </x:c>
      <x:c r="C15" s="2" t="str">
        <x:v>Администратор</x:v>
      </x:c>
      <x:c r="D15" s="2" t="n">
        <x:v>8</x:v>
      </x:c>
      <x:c r="E15" s="2" t="n">
        <x:v>2</x:v>
      </x:c>
      <x:c r="F15" s="2" t="n">
        <x:v>2</x:v>
      </x:c>
      <x:c r="G15" s="2" t="n">
        <x:v>3</x:v>
      </x:c>
      <x:c r="H15" s="2" t="n">
        <x:v>2</x:v>
      </x:c>
      <x:c r="I15" s="2" t="n">
        <x:f>SUM(E15:H15)</x:f>
        <x:v>9</x:v>
      </x:c>
      <x:c r="J15" s="2" t="n">
        <x:v>15</x:v>
      </x:c>
      <x:c r="K15" s="2" t="n">
        <x:v>62</x:v>
      </x:c>
      <x:c r="L15" s="2" t="n">
        <x:v>57</x:v>
      </x:c>
      <x:c r="M15" s="2" t="n">
        <x:v>64</x:v>
      </x:c>
      <x:c r="N15" s="2" t="n">
        <x:f>MEDIAN(K15:M15)</x:f>
        <x:v>62</x:v>
      </x:c>
      <x:c r="O15" s="9" t="str">
        <x:v>Создать или изменить карточку, правила и окна доступности.</x:v>
      </x:c>
      <x:c r="P15" s="9" t="str">
        <x:v>Нельзя удалить предмет с активной бронью.</x:v>
      </x:c>
      <x:c r="Q15" s="2"/>
    </x:row>
    <x:row r="16" ht="49" customHeight="1">
      <x:c r="A16" s="2" t="str">
        <x:v>UC10</x:v>
      </x:c>
      <x:c r="B16" s="2" t="str">
        <x:v>Управлять правами доступа</x:v>
      </x:c>
      <x:c r="C16" s="2" t="str">
        <x:v>Администратор</x:v>
      </x:c>
      <x:c r="D16" s="2" t="n">
        <x:v>5</x:v>
      </x:c>
      <x:c r="E16" s="2" t="n">
        <x:v>2</x:v>
      </x:c>
      <x:c r="F16" s="2" t="n">
        <x:v>2</x:v>
      </x:c>
      <x:c r="G16" s="2" t="n">
        <x:v>2</x:v>
      </x:c>
      <x:c r="H16" s="2" t="n">
        <x:v>1</x:v>
      </x:c>
      <x:c r="I16" s="2" t="n">
        <x:f>SUM(E16:H16)</x:f>
        <x:v>7</x:v>
      </x:c>
      <x:c r="J16" s="2" t="n">
        <x:v>10</x:v>
      </x:c>
      <x:c r="K16" s="2" t="n">
        <x:v>38</x:v>
      </x:c>
      <x:c r="L16" s="2" t="n">
        <x:v>43</x:v>
      </x:c>
      <x:c r="M16" s="2" t="n">
        <x:v>41</x:v>
      </x:c>
      <x:c r="N16" s="2" t="n">
        <x:f>MEDIAN(K16:M16)</x:f>
        <x:v>41</x:v>
      </x:c>
      <x:c r="O16" s="9" t="str">
        <x:v>Назначить роль сотрудника и сохранить аудит изменения.</x:v>
      </x:c>
      <x:c r="P16" s="9" t="str">
        <x:v>Самому себе нельзя снять последнюю роль администратора.</x:v>
      </x:c>
      <x:c r="Q16" s="2"/>
    </x:row>
    <x:row r="17" ht="49" customHeight="1">
      <x:c r="A17" s="2" t="str">
        <x:v>UC11</x:v>
      </x:c>
      <x:c r="B17" s="2" t="str">
        <x:v>Получить уведомление о статусе</x:v>
      </x:c>
      <x:c r="C17" s="2" t="str">
        <x:v>Студент/сотрудник</x:v>
      </x:c>
      <x:c r="D17" s="2" t="n">
        <x:v>4</x:v>
      </x:c>
      <x:c r="E17" s="2" t="n">
        <x:v>1</x:v>
      </x:c>
      <x:c r="F17" s="2" t="n">
        <x:v>2</x:v>
      </x:c>
      <x:c r="G17" s="2" t="n">
        <x:v>2</x:v>
      </x:c>
      <x:c r="H17" s="2" t="n">
        <x:v>1</x:v>
      </x:c>
      <x:c r="I17" s="2" t="n">
        <x:f>SUM(E17:H17)</x:f>
        <x:v>6</x:v>
      </x:c>
      <x:c r="J17" s="2" t="n">
        <x:v>10</x:v>
      </x:c>
      <x:c r="K17" s="2" t="n">
        <x:v>29</x:v>
      </x:c>
      <x:c r="L17" s="2" t="n">
        <x:v>26</x:v>
      </x:c>
      <x:c r="M17" s="2" t="n">
        <x:v>30</x:v>
      </x:c>
      <x:c r="N17" s="2" t="n">
        <x:f>MEDIAN(K17:M17)</x:f>
        <x:v>29</x:v>
      </x:c>
      <x:c r="O17" s="9" t="str">
        <x:v>После изменения статуса отправить уведомление и записать факт доставки.</x:v>
      </x:c>
      <x:c r="P17" s="9" t="str">
        <x:v>Сбой почты: повторить отправку, бронь оставить действительной.</x:v>
      </x:c>
      <x:c r="Q17" s="2"/>
    </x:row>
    <x:row r="18" ht="49" customHeight="1">
      <x:c r="A18" s="2" t="str">
        <x:v>UC12</x:v>
      </x:c>
      <x:c r="B18" s="2" t="str">
        <x:v>Посмотреть отчёт по использованию</x:v>
      </x:c>
      <x:c r="C18" s="2" t="str">
        <x:v>Администратор</x:v>
      </x:c>
      <x:c r="D18" s="2" t="n">
        <x:v>5</x:v>
      </x:c>
      <x:c r="E18" s="2" t="n">
        <x:v>1</x:v>
      </x:c>
      <x:c r="F18" s="2" t="n">
        <x:v>2</x:v>
      </x:c>
      <x:c r="G18" s="2" t="n">
        <x:v>3</x:v>
      </x:c>
      <x:c r="H18" s="2" t="n">
        <x:v>0</x:v>
      </x:c>
      <x:c r="I18" s="2" t="n">
        <x:f>SUM(E18:H18)</x:f>
        <x:v>6</x:v>
      </x:c>
      <x:c r="J18" s="2" t="n">
        <x:v>10</x:v>
      </x:c>
      <x:c r="K18" s="2" t="n">
        <x:v>40</x:v>
      </x:c>
      <x:c r="L18" s="2" t="n">
        <x:v>35</x:v>
      </x:c>
      <x:c r="M18" s="2" t="n">
        <x:v>39</x:v>
      </x:c>
      <x:c r="N18" s="2" t="n">
        <x:f>MEDIAN(K18:M18)</x:f>
        <x:v>39</x:v>
      </x:c>
      <x:c r="O18" s="9" t="str">
        <x:v>Выбрать период и получить число броней и загрузку оборудования.</x:v>
      </x:c>
      <x:c r="P18" s="9" t="str">
        <x:v>Нет данных: нулевой отчёт.</x:v>
      </x:c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8" t="str">
        <x:v>Итого</x:v>
      </x:c>
      <x:c r="I20" s="8" t="n">
        <x:v>79</x:v>
      </x:c>
      <x:c r="J20" s="8" t="n">
        <x:v>115</x:v>
      </x:c>
      <x:c r="K20" s="8" t="n">
        <x:v>491</x:v>
      </x:c>
      <x:c r="L20" s="8" t="n">
        <x:v>483</x:v>
      </x:c>
      <x:c r="M20" s="8" t="n">
        <x:v>511</x:v>
      </x:c>
      <x:c r="N20" s="8" t="n">
        <x:v>504</x:v>
      </x:c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36" hidden="0" customWidth="1"/>
    <x:col min="4" max="4" width="23" hidden="0" customWidth="1"/>
  </x:cols>
  <x:sheetData>
    <x:row r="1">
      <x:c r="A1" s="2"/>
      <x:c r="B1" s="2"/>
      <x:c r="C1" s="2"/>
      <x:c r="D1" s="2"/>
      <x:c r="E1" s="2"/>
    </x:row>
    <x:row r="2" ht="29" customHeight="1">
      <x:c r="A2" s="3" t="str">
        <x:v>Технические и средовые коэффициенты UCP</x:v>
      </x:c>
      <x:c r="B2" s="2"/>
      <x:c r="C2" s="2"/>
      <x:c r="D2" s="2"/>
      <x:c r="E2" s="2"/>
    </x:row>
    <x:row r="3">
      <x:c r="A3" s="2"/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31" customHeight="1">
      <x:c r="A6" s="6" t="str">
        <x:v>Технический фактор</x:v>
      </x:c>
      <x:c r="B6" s="6" t="str">
        <x:v>Вес</x:v>
      </x:c>
      <x:c r="C6" s="6" t="str">
        <x:v>Балл 0–5</x:v>
      </x:c>
      <x:c r="D6" s="6" t="str">
        <x:v>Произведение</x:v>
      </x:c>
      <x:c r="E6" s="2"/>
    </x:row>
    <x:row r="7">
      <x:c r="A7" s="2" t="str">
        <x:v>Распределённость</x:v>
      </x:c>
      <x:c r="B7" s="2" t="n">
        <x:v>2</x:v>
      </x:c>
      <x:c r="C7" s="2" t="n">
        <x:v>2</x:v>
      </x:c>
      <x:c r="D7" s="2" t="n">
        <x:f>B7*C7</x:f>
        <x:v>4</x:v>
      </x:c>
      <x:c r="E7" s="2"/>
    </x:row>
    <x:row r="8">
      <x:c r="A8" s="2" t="str">
        <x:v>Время отклика</x:v>
      </x:c>
      <x:c r="B8" s="2" t="n">
        <x:v>1</x:v>
      </x:c>
      <x:c r="C8" s="2" t="n">
        <x:v>3</x:v>
      </x:c>
      <x:c r="D8" s="2" t="n">
        <x:f>B8*C8</x:f>
        <x:v>3</x:v>
      </x:c>
      <x:c r="E8" s="2"/>
    </x:row>
    <x:row r="9">
      <x:c r="A9" s="2" t="str">
        <x:v>Эффективность пользователя</x:v>
      </x:c>
      <x:c r="B9" s="2" t="n">
        <x:v>1</x:v>
      </x:c>
      <x:c r="C9" s="2" t="n">
        <x:v>3</x:v>
      </x:c>
      <x:c r="D9" s="2" t="n">
        <x:f>B9*C9</x:f>
        <x:v>3</x:v>
      </x:c>
      <x:c r="E9" s="2"/>
    </x:row>
    <x:row r="10">
      <x:c r="A10" s="2" t="str">
        <x:v>Сложная обработка</x:v>
      </x:c>
      <x:c r="B10" s="2" t="n">
        <x:v>1</x:v>
      </x:c>
      <x:c r="C10" s="2" t="n">
        <x:v>2</x:v>
      </x:c>
      <x:c r="D10" s="2" t="n">
        <x:f>B10*C10</x:f>
        <x:v>2</x:v>
      </x:c>
      <x:c r="E10" s="2"/>
    </x:row>
    <x:row r="11">
      <x:c r="A11" s="2" t="str">
        <x:v>Повторное использование</x:v>
      </x:c>
      <x:c r="B11" s="2" t="n">
        <x:v>1</x:v>
      </x:c>
      <x:c r="C11" s="2" t="n">
        <x:v>2</x:v>
      </x:c>
      <x:c r="D11" s="2" t="n">
        <x:f>B11*C11</x:f>
        <x:v>2</x:v>
      </x:c>
      <x:c r="E11" s="2"/>
    </x:row>
    <x:row r="12">
      <x:c r="A12" s="2" t="str">
        <x:v>Простота установки</x:v>
      </x:c>
      <x:c r="B12" s="2" t="n">
        <x:v>0.5</x:v>
      </x:c>
      <x:c r="C12" s="2" t="n">
        <x:v>2</x:v>
      </x:c>
      <x:c r="D12" s="2" t="n">
        <x:f>B12*C12</x:f>
        <x:v>1</x:v>
      </x:c>
      <x:c r="E12" s="2"/>
    </x:row>
    <x:row r="13">
      <x:c r="A13" s="2" t="str">
        <x:v>Удобство эксплуатации</x:v>
      </x:c>
      <x:c r="B13" s="2" t="n">
        <x:v>0.5</x:v>
      </x:c>
      <x:c r="C13" s="2" t="n">
        <x:v>3</x:v>
      </x:c>
      <x:c r="D13" s="2" t="n">
        <x:f>B13*C13</x:f>
        <x:v>1.5</x:v>
      </x:c>
      <x:c r="E13" s="2"/>
    </x:row>
    <x:row r="14">
      <x:c r="A14" s="2" t="str">
        <x:v>Переносимость</x:v>
      </x:c>
      <x:c r="B14" s="2" t="n">
        <x:v>2</x:v>
      </x:c>
      <x:c r="C14" s="2" t="n">
        <x:v>2</x:v>
      </x:c>
      <x:c r="D14" s="2" t="n">
        <x:f>B14*C14</x:f>
        <x:v>4</x:v>
      </x:c>
      <x:c r="E14" s="2"/>
    </x:row>
    <x:row r="15">
      <x:c r="A15" s="2" t="str">
        <x:v>Простота изменений</x:v>
      </x:c>
      <x:c r="B15" s="2" t="n">
        <x:v>1</x:v>
      </x:c>
      <x:c r="C15" s="2" t="n">
        <x:v>3</x:v>
      </x:c>
      <x:c r="D15" s="2" t="n">
        <x:f>B15*C15</x:f>
        <x:v>3</x:v>
      </x:c>
      <x:c r="E15" s="2"/>
    </x:row>
    <x:row r="16">
      <x:c r="A16" s="2" t="str">
        <x:v>Параллелизм</x:v>
      </x:c>
      <x:c r="B16" s="2" t="n">
        <x:v>1</x:v>
      </x:c>
      <x:c r="C16" s="2" t="n">
        <x:v>4</x:v>
      </x:c>
      <x:c r="D16" s="2" t="n">
        <x:f>B16*C16</x:f>
        <x:v>4</x:v>
      </x:c>
      <x:c r="E16" s="2"/>
    </x:row>
    <x:row r="17">
      <x:c r="A17" s="2" t="str">
        <x:v>Безопасность</x:v>
      </x:c>
      <x:c r="B17" s="2" t="n">
        <x:v>1</x:v>
      </x:c>
      <x:c r="C17" s="2" t="n">
        <x:v>4</x:v>
      </x:c>
      <x:c r="D17" s="2" t="n">
        <x:f>B17*C17</x:f>
        <x:v>4</x:v>
      </x:c>
      <x:c r="E17" s="2"/>
    </x:row>
    <x:row r="18">
      <x:c r="A18" s="2" t="str">
        <x:v>Доступ третьих сторон</x:v>
      </x:c>
      <x:c r="B18" s="2" t="n">
        <x:v>1</x:v>
      </x:c>
      <x:c r="C18" s="2" t="n">
        <x:v>1</x:v>
      </x:c>
      <x:c r="D18" s="2" t="n">
        <x:f>B18*C18</x:f>
        <x:v>1</x:v>
      </x:c>
      <x:c r="E18" s="2"/>
    </x:row>
    <x:row r="19">
      <x:c r="A19" s="2" t="str">
        <x:v>Обучение пользователей</x:v>
      </x:c>
      <x:c r="B19" s="2" t="n">
        <x:v>1</x:v>
      </x:c>
      <x:c r="C19" s="2" t="n">
        <x:v>2</x:v>
      </x:c>
      <x:c r="D19" s="2" t="n">
        <x:f>B19*C19</x:f>
        <x:v>2</x:v>
      </x:c>
      <x:c r="E19" s="2"/>
    </x:row>
    <x:row r="20">
      <x:c r="A20" s="2"/>
      <x:c r="B20" s="2"/>
      <x:c r="C20" s="2"/>
      <x:c r="D20" s="2"/>
      <x:c r="E20" s="2"/>
    </x:row>
    <x:row r="21">
      <x:c r="A21" s="2" t="str">
        <x:v>Итого</x:v>
      </x:c>
      <x:c r="B21" s="2" t="str"/>
      <x:c r="C21" s="2" t="str"/>
      <x:c r="D21" s="2" t="n">
        <x:v>34.5</x:v>
      </x:c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 ht="31" customHeight="1">
      <x:c r="A24" s="6" t="str">
        <x:v>Фактор среды</x:v>
      </x:c>
      <x:c r="B24" s="6" t="str">
        <x:v>Вес</x:v>
      </x:c>
      <x:c r="C24" s="6" t="str">
        <x:v>Балл 0–5</x:v>
      </x:c>
      <x:c r="D24" s="6" t="str">
        <x:v>Произведение</x:v>
      </x:c>
      <x:c r="E24" s="2"/>
    </x:row>
    <x:row r="25">
      <x:c r="A25" s="2" t="str">
        <x:v>Знание процесса</x:v>
      </x:c>
      <x:c r="B25" s="2" t="n">
        <x:v>1.5</x:v>
      </x:c>
      <x:c r="C25" s="2" t="n">
        <x:v>3</x:v>
      </x:c>
      <x:c r="D25" s="2" t="n">
        <x:f>B25*C25</x:f>
        <x:v>4.5</x:v>
      </x:c>
      <x:c r="E25" s="2"/>
    </x:row>
    <x:row r="26">
      <x:c r="A26" s="2" t="str">
        <x:v>Опыт с приложениями</x:v>
      </x:c>
      <x:c r="B26" s="2" t="n">
        <x:v>0.5</x:v>
      </x:c>
      <x:c r="C26" s="2" t="n">
        <x:v>3</x:v>
      </x:c>
      <x:c r="D26" s="2" t="n">
        <x:f>B26*C26</x:f>
        <x:v>1.5</x:v>
      </x:c>
      <x:c r="E26" s="2"/>
    </x:row>
    <x:row r="27">
      <x:c r="A27" s="2" t="str">
        <x:v>ООП опыт</x:v>
      </x:c>
      <x:c r="B27" s="2" t="n">
        <x:v>1</x:v>
      </x:c>
      <x:c r="C27" s="2" t="n">
        <x:v>3</x:v>
      </x:c>
      <x:c r="D27" s="2" t="n">
        <x:f>B27*C27</x:f>
        <x:v>3</x:v>
      </x:c>
      <x:c r="E27" s="2"/>
    </x:row>
    <x:row r="28">
      <x:c r="A28" s="2" t="str">
        <x:v>Ведущий аналитик</x:v>
      </x:c>
      <x:c r="B28" s="2" t="n">
        <x:v>0.5</x:v>
      </x:c>
      <x:c r="C28" s="2" t="n">
        <x:v>3</x:v>
      </x:c>
      <x:c r="D28" s="2" t="n">
        <x:f>B28*C28</x:f>
        <x:v>1.5</x:v>
      </x:c>
      <x:c r="E28" s="2"/>
    </x:row>
    <x:row r="29">
      <x:c r="A29" s="2" t="str">
        <x:v>Мотивация</x:v>
      </x:c>
      <x:c r="B29" s="2" t="n">
        <x:v>1</x:v>
      </x:c>
      <x:c r="C29" s="2" t="n">
        <x:v>4</x:v>
      </x:c>
      <x:c r="D29" s="2" t="n">
        <x:f>B29*C29</x:f>
        <x:v>4</x:v>
      </x:c>
      <x:c r="E29" s="2"/>
    </x:row>
    <x:row r="30">
      <x:c r="A30" s="2" t="str">
        <x:v>Стабильность требований</x:v>
      </x:c>
      <x:c r="B30" s="2" t="n">
        <x:v>2</x:v>
      </x:c>
      <x:c r="C30" s="2" t="n">
        <x:v>3</x:v>
      </x:c>
      <x:c r="D30" s="2" t="n">
        <x:f>B30*C30</x:f>
        <x:v>6</x:v>
      </x:c>
      <x:c r="E30" s="2"/>
    </x:row>
    <x:row r="31">
      <x:c r="A31" s="2" t="str">
        <x:v>Частичная занятость</x:v>
      </x:c>
      <x:c r="B31" s="2" t="n">
        <x:v>-1</x:v>
      </x:c>
      <x:c r="C31" s="2" t="n">
        <x:v>2</x:v>
      </x:c>
      <x:c r="D31" s="2" t="n">
        <x:f>B31*C31</x:f>
        <x:v>-2</x:v>
      </x:c>
      <x:c r="E31" s="2"/>
    </x:row>
    <x:row r="32">
      <x:c r="A32" s="2" t="str">
        <x:v>Сложность языка</x:v>
      </x:c>
      <x:c r="B32" s="2" t="n">
        <x:v>-1</x:v>
      </x:c>
      <x:c r="C32" s="2" t="n">
        <x:v>2</x:v>
      </x:c>
      <x:c r="D32" s="2" t="n">
        <x:f>B32*C32</x:f>
        <x:v>-2</x:v>
      </x:c>
      <x:c r="E32" s="2"/>
    </x:row>
    <x:row r="33">
      <x:c r="A33" s="2"/>
      <x:c r="B33" s="2"/>
      <x:c r="C33" s="2"/>
      <x:c r="D33" s="2"/>
      <x:c r="E33" s="2"/>
    </x:row>
    <x:row r="34">
      <x:c r="A34" s="2" t="str">
        <x:v>Итого</x:v>
      </x:c>
      <x:c r="B34" s="2" t="str"/>
      <x:c r="C34" s="2" t="str"/>
      <x:c r="D34" s="2" t="n">
        <x:v>16.5</x:v>
      </x:c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 t="str">
        <x:v>UAW</x:v>
      </x:c>
      <x:c r="B37" s="2" t="n">
        <x:v>9</x:v>
      </x:c>
      <x:c r="C37" s="2" t="str">
        <x:v>3 сложных актора</x:v>
      </x:c>
      <x:c r="D37" s="2" t="str"/>
      <x:c r="E37" s="2"/>
    </x:row>
    <x:row r="38">
      <x:c r="A38" s="2" t="str">
        <x:v>UUCW</x:v>
      </x:c>
      <x:c r="B38" s="2" t="n">
        <x:v>115</x:v>
      </x:c>
      <x:c r="C38" s="2" t="str">
        <x:v>сумма весов UC</x:v>
      </x:c>
      <x:c r="D38" s="2" t="str"/>
      <x:c r="E38" s="2"/>
    </x:row>
    <x:row r="39">
      <x:c r="A39" s="2" t="str">
        <x:v>UUCP</x:v>
      </x:c>
      <x:c r="B39" s="2" t="n">
        <x:v>124</x:v>
      </x:c>
      <x:c r="C39" s="2" t="str">
        <x:v>UAW + UUCW</x:v>
      </x:c>
      <x:c r="D39" s="2" t="str"/>
      <x:c r="E39" s="2"/>
    </x:row>
    <x:row r="40">
      <x:c r="A40" s="2" t="str">
        <x:v>TCF</x:v>
      </x:c>
      <x:c r="B40" s="2" t="n">
        <x:v>0.9450000000000001</x:v>
      </x:c>
      <x:c r="C40" s="2" t="str">
        <x:v>0,6 + 0,01 × сумма</x:v>
      </x:c>
      <x:c r="D40" s="2" t="str"/>
      <x:c r="E40" s="2"/>
    </x:row>
    <x:row r="41">
      <x:c r="A41" s="2" t="str">
        <x:v>ECF</x:v>
      </x:c>
      <x:c r="B41" s="2" t="n">
        <x:v>0.9049999999999999</x:v>
      </x:c>
      <x:c r="C41" s="2" t="str">
        <x:v>1,4 − 0,03 × сумма</x:v>
      </x:c>
      <x:c r="D41" s="2" t="str"/>
      <x:c r="E41" s="2"/>
    </x:row>
    <x:row r="42">
      <x:c r="A42" s="2" t="str">
        <x:v>UCP</x:v>
      </x:c>
      <x:c r="B42" s="2" t="n">
        <x:v>106.0479</x:v>
      </x:c>
      <x:c r="C42" s="2" t="str">
        <x:v>UUCP × TCF × ECF</x:v>
      </x:c>
      <x:c r="D42" s="2" t="str"/>
      <x:c r="E42" s="2"/>
    </x:row>
    <x:row r="43">
      <x:c r="A43" s="2" t="str">
        <x:v>Норма</x:v>
      </x:c>
      <x:c r="B43" s="2" t="n">
        <x:v>20</x:v>
      </x:c>
      <x:c r="C43" s="2" t="str">
        <x:v>ч/UCP; без калибровки</x:v>
      </x:c>
      <x:c r="D43" s="2" t="str"/>
      <x:c r="E43" s="2"/>
    </x:row>
    <x:row r="44">
      <x:c r="A44" s="2" t="str">
        <x:v>Трудоёмкость</x:v>
      </x:c>
      <x:c r="B44" s="2" t="n">
        <x:v>2120.958</x:v>
      </x:c>
      <x:c r="C44" s="2" t="str">
        <x:v>ч</x:v>
      </x:c>
      <x:c r="D44" s="2" t="str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7" hidden="0" customWidth="1"/>
    <x:col min="3" max="3" width="53" hidden="0" customWidth="1"/>
    <x:col min="4" max="4" width="35" hidden="0" customWidth="1"/>
  </x:cols>
  <x:sheetData>
    <x:row r="1">
      <x:c r="A1" s="2"/>
      <x:c r="B1" s="2"/>
      <x:c r="C1" s="2"/>
      <x:c r="D1" s="2"/>
      <x:c r="E1" s="2"/>
      <x:c r="F1" s="2"/>
    </x:row>
    <x:row r="2" ht="29" customHeight="1">
      <x:c r="A2" s="3" t="str">
        <x:v>Сопоставление методов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1" customHeight="1">
      <x:c r="A6" s="6" t="str">
        <x:v>Метод</x:v>
      </x:c>
      <x:c r="B6" s="6" t="str">
        <x:v>Часы</x:v>
      </x:c>
      <x:c r="C6" s="6" t="str">
        <x:v>Расчёт</x:v>
      </x:c>
      <x:c r="D6" s="6" t="str">
        <x:v>Вывод</x:v>
      </x:c>
      <x:c r="E6" s="2"/>
      <x:c r="F6" s="2"/>
    </x:row>
    <x:row r="7">
      <x:c r="A7" s="2" t="str">
        <x:v>Экспертная медиана</x:v>
      </x:c>
      <x:c r="B7" s="2" t="n">
        <x:v>504</x:v>
      </x:c>
      <x:c r="C7" s="2" t="str">
        <x:v>Сумма медиан 12 UC</x:v>
      </x:c>
      <x:c r="D7" s="2" t="str">
        <x:v>Согласованная оценка</x:v>
      </x:c>
      <x:c r="E7" s="2"/>
      <x:c r="F7" s="2"/>
    </x:row>
    <x:row r="8">
      <x:c r="A8" s="2" t="str">
        <x:v>COSMIC</x:v>
      </x:c>
      <x:c r="B8" s="2" t="n">
        <x:v>632</x:v>
      </x:c>
      <x:c r="C8" s="2" t="str">
        <x:v>79 CFP × 8 ч/CFP</x:v>
      </x:c>
      <x:c r="D8" s="2" t="str">
        <x:v>Функциональная оценка</x:v>
      </x:c>
      <x:c r="E8" s="2"/>
      <x:c r="F8" s="2"/>
    </x:row>
    <x:row r="9">
      <x:c r="A9" s="2" t="str">
        <x:v>UCP</x:v>
      </x:c>
      <x:c r="B9" s="2" t="n">
        <x:v>2121</x:v>
      </x:c>
      <x:c r="C9" s="2" t="str">
        <x:v>106,05 UCP × 20 ч/UCP</x:v>
      </x:c>
      <x:c r="D9" s="2" t="str">
        <x:v>Проверить норму</x:v>
      </x:c>
      <x:c r="E9" s="2"/>
      <x:c r="F9" s="2"/>
    </x:row>
    <x:row r="10">
      <x:c r="A10" s="2" t="str">
        <x:v>Предварительный бюджет</x:v>
      </x:c>
      <x:c r="B10" s="2" t="n">
        <x:v>760</x:v>
      </x:c>
      <x:c r="C10" s="2" t="str">
        <x:v>max(504,632) × 1,2; округление</x:v>
      </x:c>
      <x:c r="D10" s="2" t="str">
        <x:v>До детализации WBS</x:v>
      </x:c>
      <x:c r="E10" s="2"/>
      <x:c r="F10" s="2"/>
    </x:row>
    <x:row r="11">
      <x:c r="A11" s="2" t="str">
        <x:v>После фазы 5</x:v>
      </x:c>
      <x:c r="B11" s="2" t="n">
        <x:v>880</x:v>
      </x:c>
      <x:c r="C11" s="2" t="str">
        <x:v>110 человеко-дней × 8 ч</x:v>
      </x:c>
      <x:c r="D11" s="2" t="str">
        <x:v>Пересогласовать бюджет</x:v>
      </x:c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</x:sheetData>
  <x:pageMargins left="0.7" right="0.7" top="0.75" bottom="0.75" header="0.3" footer="0.3"/>
</x:worksheet>
</file>