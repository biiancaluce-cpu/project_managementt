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fcd4768fd47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нцепции" sheetId="1" r:id="R6171e428d03f4fe2"/>
    <x:sheet xmlns:r="http://schemas.openxmlformats.org/officeDocument/2006/relationships" name="TOPSIS оценки" sheetId="2" r:id="Re5796ea5df3f4012"/>
    <x:sheet xmlns:r="http://schemas.openxmlformats.org/officeDocument/2006/relationships" name="МАИ сравнения" sheetId="3" r:id="R9cff261846ff4dd1"/>
    <x:sheet xmlns:r="http://schemas.openxmlformats.org/officeDocument/2006/relationships" name="Работы этапа" sheetId="4" r:id="R481db1cd972e4846"/>
    <x:sheet xmlns:r="http://schemas.openxmlformats.org/officeDocument/2006/relationships" name="TOPSIS расчёт" sheetId="5" r:id="R7025a3e1ad824b30"/>
    <x:sheet xmlns:r="http://schemas.openxmlformats.org/officeDocument/2006/relationships" name="МАИ расчёт" sheetId="6" r:id="Rf2e0c6af304c450c"/>
    <x:sheet xmlns:r="http://schemas.openxmlformats.org/officeDocument/2006/relationships" name="Итог выбора" sheetId="7" r:id="R9c4a1f91daa64d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dd.mm.yyyy"/>
    <x:numFmt numFmtId="202" formatCode="0.0"/>
    <x:numFmt numFmtId="203" formatCode="0.0000"/>
  </x:numFmts>
  <x:fonts count="5">
    <x:font>
      <x:sz val="11"/>
      <x:name val="Carlito"/>
    </x:font>
    <x:font>
      <x:sz val="10"/>
      <x:color rgb="FF243247"/>
      <x:name val="Arial"/>
    </x:font>
    <x:font>
      <x:b/>
      <x:sz val="15"/>
      <x:color rgb="FF000000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4163"/>
      </x:patternFill>
    </x:fill>
    <x:fill>
      <x:patternFill patternType="solid">
        <x:fgColor rgb="FFEAF1F8"/>
      </x:patternFill>
    </x:fill>
    <x:fill>
      <x:patternFill patternType="solid">
        <x:fgColor rgb="FFFFF1CC"/>
      </x:patternFill>
    </x:fill>
    <x:fill>
      <x:patternFill patternType="solid">
        <x:fgColor rgb="FFFFF1CC"/>
      </x:patternFill>
    </x:fill>
    <x:fill>
      <x:patternFill patternType="solid">
        <x:fgColor rgb="FF244163"/>
      </x:patternFill>
    </x:fill>
    <x:fill>
      <x:patternFill patternType="solid">
        <x:fgColor rgb="FFEAF1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3" fontId="3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17445b0354b92" /><Relationship Type="http://schemas.openxmlformats.org/officeDocument/2006/relationships/theme" Target="/xl/theme/theme1.xml" Id="R9d1f2f7c59df453c" /><Relationship Type="http://schemas.openxmlformats.org/officeDocument/2006/relationships/sharedStrings" Target="/xl/sharedStrings.xml" Id="Ra63d656727c54bc7" /><Relationship Type="http://schemas.openxmlformats.org/officeDocument/2006/relationships/worksheet" Target="/xl/worksheets/sheet1.xml" Id="R6171e428d03f4fe2" /><Relationship Type="http://schemas.openxmlformats.org/officeDocument/2006/relationships/worksheet" Target="/xl/worksheets/sheet2.xml" Id="Re5796ea5df3f4012" /><Relationship Type="http://schemas.openxmlformats.org/officeDocument/2006/relationships/worksheet" Target="/xl/worksheets/sheet3.xml" Id="R9cff261846ff4dd1" /><Relationship Type="http://schemas.openxmlformats.org/officeDocument/2006/relationships/worksheet" Target="/xl/worksheets/sheet4.xml" Id="R481db1cd972e4846" /><Relationship Type="http://schemas.openxmlformats.org/officeDocument/2006/relationships/worksheet" Target="/xl/worksheets/sheet5.xml" Id="R7025a3e1ad824b30" /><Relationship Type="http://schemas.openxmlformats.org/officeDocument/2006/relationships/worksheet" Target="/xl/worksheets/sheet6.xml" Id="Rf2e0c6af304c450c" /><Relationship Type="http://schemas.openxmlformats.org/officeDocument/2006/relationships/worksheet" Target="/xl/worksheets/sheet7.xml" Id="R9c4a1f91daa64d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163"/>
  </x:sheetPr>
  <x:sheetViews>
    <x:sheetView showGridLines="0" workbookViewId="0"/>
  </x:sheetViews>
  <x:sheetFormatPr defaultRowHeight="15"/>
  <x:cols>
    <x:col min="1" max="1" width="19" hidden="0" customWidth="1"/>
    <x:col min="2" max="2" width="41" hidden="0" customWidth="1"/>
    <x:col min="3" max="3" width="100" hidden="0" customWidth="1"/>
  </x:cols>
  <x:sheetData>
    <x:row r="1">
      <x:c r="A1" s="2"/>
      <x:c r="B1" s="2"/>
      <x:c r="C1" s="2"/>
    </x:row>
    <x:row r="2" ht="29" customHeight="1">
      <x:c r="A2" s="3" t="str">
        <x:v>Этап 1. Выбор концепции проекта</x:v>
      </x:c>
      <x:c r="B2" s="2"/>
      <x:c r="C2" s="2"/>
    </x:row>
    <x:row r="3">
      <x:c r="A3" s="2"/>
      <x:c r="B3" s="2"/>
      <x:c r="C3" s="2"/>
    </x:row>
    <x:row r="4">
      <x:c r="A4" s="2" t="str">
        <x:v>Цель</x:v>
      </x:c>
      <x:c r="B4" s="2" t="str">
        <x:v>Сравнить четыре компактных MVP на основе независимых оценок трёх участников.</x:v>
      </x:c>
      <x:c r="C4" s="2"/>
    </x:row>
    <x:row r="5">
      <x:c r="A5" s="2"/>
      <x:c r="B5" s="2"/>
      <x:c r="C5" s="2"/>
    </x:row>
    <x:row r="6" ht="32" customHeight="1">
      <x:c r="A6" s="7" t="str">
        <x:v>Код</x:v>
      </x:c>
      <x:c r="B6" s="7" t="str">
        <x:v>Концепция</x:v>
      </x:c>
      <x:c r="C6" s="7" t="str">
        <x:v>Границы MVP и основные сценарии</x:v>
      </x:c>
    </x:row>
    <x:row r="7" ht="56" customHeight="1">
      <x:c r="A7" s="2" t="str">
        <x:v>A</x:v>
      </x:c>
      <x:c r="B7" s="2" t="str">
        <x:v>Бронирование оборудования в вузе</x:v>
      </x:c>
      <x:c r="C7" s="8" t="str">
        <x:v>Каталог и наличие; заявка; одобрение; выдача; возврат; просрочка; повреждение; очередь; уведомления; отчёт. Роли: студент, кладовщик, администратор.</x:v>
      </x:c>
    </x:row>
    <x:row r="8" ht="56" customHeight="1">
      <x:c r="A8" s="2" t="str">
        <x:v>B</x:v>
      </x:c>
      <x:c r="B8" s="2" t="str">
        <x:v>Координация волонтёров</x:v>
      </x:c>
      <x:c r="C8" s="8" t="str">
        <x:v>События и смены; запись; подтверждение; назначение; замена; отметка явки; учёт часов; объявления; отчёт. Роли: волонтёр, координатор, организатор.</x:v>
      </x:c>
    </x:row>
    <x:row r="9" ht="56" customHeight="1">
      <x:c r="A9" s="2" t="str">
        <x:v>C</x:v>
      </x:c>
      <x:c r="B9" s="2" t="str">
        <x:v>Запись к учебным наставникам</x:v>
      </x:c>
      <x:c r="C9" s="8" t="str">
        <x:v>Профили; поиск; свободные слоты; запись; перенос; отмена; встреча; заметки; отзыв; уведомления; отчёт. Роли: студент, наставник, модератор.</x:v>
      </x:c>
    </x:row>
    <x:row r="10" ht="56" customHeight="1">
      <x:c r="A10" s="2" t="str">
        <x:v>D</x:v>
      </x:c>
      <x:c r="B10" s="2" t="str">
        <x:v>Трекер учебных проектов</x:v>
      </x:c>
      <x:c r="C10" s="8" t="str">
        <x:v>Проекты; задачи; назначение; оценки; приоритеты; статусы; комментарии; вложения; сроки; риски; панель и экспорт. Роли: участник, руководитель, наставник.</x:v>
      </x:c>
    </x:row>
    <x:row r="11">
      <x:c r="A11" s="2"/>
      <x:c r="B11" s="2"/>
      <x:c r="C11" s="2"/>
    </x:row>
    <x:row r="12">
      <x:c r="A12" s="2"/>
      <x:c r="B12" s="2"/>
      <x:c r="C12" s="2"/>
    </x:row>
    <x:row r="13" ht="32" customHeight="1">
      <x:c r="A13" s="7" t="str">
        <x:v>Код</x:v>
      </x:c>
      <x:c r="B13" s="7" t="str">
        <x:v>Критерий</x:v>
      </x:c>
      <x:c r="C13" s="7" t="str">
        <x:v>Как оценивать: 9 означает лучший результат</x:v>
      </x:c>
    </x:row>
    <x:row r="14" ht="38" customHeight="1">
      <x:c r="A14" s="2" t="str">
        <x:v>K1</x:v>
      </x:c>
      <x:c r="B14" s="2" t="str">
        <x:v>Польза для пользователей</x:v>
      </x:c>
      <x:c r="C14" s="8" t="str">
        <x:v>Насколько MVP решает понятную и существенную задачу.</x:v>
      </x:c>
    </x:row>
    <x:row r="15" ht="38" customHeight="1">
      <x:c r="A15" s="2" t="str">
        <x:v>K2</x:v>
      </x:c>
      <x:c r="B15" s="2" t="str">
        <x:v>Реализуемость MVP</x:v>
      </x:c>
      <x:c r="C15" s="8" t="str">
        <x:v>Насколько реально создать базовую версию небольшой командой.</x:v>
      </x:c>
    </x:row>
    <x:row r="16" ht="38" customHeight="1">
      <x:c r="A16" s="2" t="str">
        <x:v>K3</x:v>
      </x:c>
      <x:c r="B16" s="2" t="str">
        <x:v>Ясность сценариев и данных</x:v>
      </x:c>
      <x:c r="C16" s="8" t="str">
        <x:v>Насколько легко описать 10–15 Use Cases, акторов и движение данных для COSMIC и UCP.</x:v>
      </x:c>
    </x:row>
    <x:row r="17" ht="38" customHeight="1">
      <x:c r="A17" s="2" t="str">
        <x:v>K4</x:v>
      </x:c>
      <x:c r="B17" s="2" t="str">
        <x:v>Пригодность для планирования</x:v>
      </x:c>
      <x:c r="C17" s="8" t="str">
        <x:v>Насколько хорошо проект раскладывается на 20–25 задач с зависимостями и разными ресурсами.</x:v>
      </x:c>
    </x:row>
    <x:row r="18">
      <x:c r="A18" s="2"/>
      <x:c r="B18" s="2"/>
      <x:c r="C18" s="2"/>
    </x:row>
    <x:row r="19">
      <x:c r="A19" s="2"/>
      <x:c r="B19" s="2"/>
      <x:c r="C19" s="2"/>
    </x:row>
    <x:row r="20" ht="24" customHeight="1">
      <x:c r="A20" s="10" t="str">
        <x:v>Порядок заполнения</x:v>
      </x:c>
      <x:c r="B20" s="10"/>
      <x:c r="C20" s="10"/>
    </x:row>
    <x:row r="21" ht="31" customHeight="1">
      <x:c r="A21" s="2" t="str">
        <x:v>1</x:v>
      </x:c>
      <x:c r="B21" s="8" t="str">
        <x:v>Каждый участник самостоятельно ставит по одной оценке 1–9 в своём столбце листа TOPSIS.</x:v>
      </x:c>
      <x:c r="C21" s="2"/>
    </x:row>
    <x:row r="22" ht="31" customHeight="1">
      <x:c r="A22" s="2" t="str">
        <x:v>2</x:v>
      </x:c>
      <x:c r="B22" s="8" t="str">
        <x:v>Каждый участник самостоятельно заполняет парные сравнения на листе МАИ.</x:v>
      </x:c>
      <x:c r="C22" s="2"/>
    </x:row>
    <x:row r="23" ht="31" customHeight="1">
      <x:c r="A23" s="2" t="str">
        <x:v>3</x:v>
      </x:c>
      <x:c r="B23" s="8" t="str">
        <x:v>На листе Работы этапа внесите RACI, реальные даты и чистое время.</x:v>
      </x:c>
      <x:c r="C23" s="2"/>
    </x:row>
    <x:row r="24" ht="31" customHeight="1">
      <x:c r="A24" s="2" t="str">
        <x:v>4</x:v>
      </x:c>
      <x:c r="B24" s="8" t="str">
        <x:v>После получения оценок рассчитываются оба метода и фиксируется выбор проекта.</x:v>
      </x:c>
      <x:c r="C24" s="2"/>
    </x:row>
    <x:row r="25" ht="31" customHeight="1">
      <x:c r="A25" s="2" t="str">
        <x:v>5</x:v>
      </x:c>
      <x:c r="B25" s="8" t="str">
        <x:v>Жёлтые ячейки предназначены для ввода.</x:v>
      </x:c>
      <x:c r="C25" s="2"/>
    </x:row>
    <x:row r="26">
      <x:c r="A26" s="2"/>
      <x:c r="B26" s="2"/>
      <x:c r="C26" s="2"/>
    </x:row>
    <x:row r="27">
      <x:c r="A27" s="2"/>
      <x:c r="B27" s="2"/>
      <x:c r="C27" s="2"/>
    </x:row>
    <x:row r="28" ht="24" customHeight="1">
      <x:c r="A28" s="10" t="str">
        <x:v>Участники команды</x:v>
      </x:c>
      <x:c r="B28" s="10"/>
      <x:c r="C28" s="10"/>
    </x:row>
    <x:row r="29" ht="32" customHeight="1">
      <x:c r="A29" s="7" t="str">
        <x:v>Обозначение</x:v>
      </x:c>
      <x:c r="B29" s="7" t="str">
        <x:v>Имя участника</x:v>
      </x:c>
      <x:c r="C29" s="2"/>
    </x:row>
    <x:row r="30">
      <x:c r="A30" s="2" t="str">
        <x:v>У1</x:v>
      </x:c>
      <x:c r="B30" s="2" t="str">
        <x:v>Мартин Майжюс</x:v>
      </x:c>
      <x:c r="C30" s="2"/>
    </x:row>
    <x:row r="31">
      <x:c r="A31" s="2" t="str">
        <x:v>У2</x:v>
      </x:c>
      <x:c r="B31" s="2" t="str">
        <x:v>Чуев Никита</x:v>
      </x:c>
      <x:c r="C31" s="2"/>
    </x:row>
    <x:row r="32">
      <x:c r="A32" s="2" t="str">
        <x:v>У3</x:v>
      </x:c>
      <x:c r="B32" s="2" t="str">
        <x:v>Акнур Акмурадова</x:v>
      </x:c>
      <x:c r="C32" s="2"/>
    </x:row>
    <x:row r="33">
      <x:c r="A33" s="2"/>
      <x:c r="B33" s="2"/>
      <x:c r="C33" s="2"/>
    </x:row>
    <x:row r="34">
      <x:c r="A34" s="2"/>
      <x:c r="B34" s="2"/>
      <x:c r="C34" s="2"/>
    </x:row>
    <x:row r="35">
      <x:c r="A35" s="2" t="str">
        <x:v>Заполнено TOPSIS</x:v>
      </x:c>
      <x:c r="B35" s="2" t="str">
        <x:f>COUNT('TOPSIS оценки'!D7:F26)&amp;" из 60"</x:f>
        <x:v>60 из 60</x:v>
      </x:c>
      <x:c r="C35" s="2"/>
    </x:row>
    <x:row r="36">
      <x:c r="A36" s="2" t="str">
        <x:v>Заполнено МАИ</x:v>
      </x:c>
      <x:c r="B36" s="2" t="str">
        <x:f>COUNT('МАИ сравнения'!D8:F37)&amp;" из 90"</x:f>
        <x:v>90 из 90</x:v>
      </x:c>
      <x:c r="C36" s="2"/>
    </x:row>
    <x:row r="37">
      <x:c r="A37" s="2" t="str">
        <x:v>Источник задания</x:v>
      </x:c>
      <x:c r="B37" s="2" t="str">
        <x:v>Задание.docx, Фаза 1</x:v>
      </x:c>
      <x:c r="C37" s="2"/>
    </x:row>
    <x:row r="38">
      <x:c r="A38" s="2"/>
      <x:c r="B38" s="2"/>
      <x:c r="C38" s="2"/>
    </x:row>
    <x:row r="39" ht="25" customHeight="1">
      <x:c r="A39" s="18" t="str">
        <x:v>Статус оценок</x:v>
      </x:c>
      <x:c r="B39" s="18" t="str">
        <x:v>Согласовано командой</x:v>
      </x:c>
      <x:c r="C39" s="18" t="str">
        <x:v>М1 — Мартин; М2 — Никита; М3 — Акнур</x:v>
      </x:c>
    </x:row>
    <x:row r="40">
      <x:c r="A40" s="2"/>
      <x:c r="B40" s="2"/>
      <x:c r="C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A8BA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3" t="str">
        <x:v>Трёхточечные оценки для TOPSIS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11" t="str">
        <x:v>Согласованные командой оценки. Мартин = М1; Никита = М2; Акнур = М3.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2" customHeight="1">
      <x:c r="A6" s="7" t="str">
        <x:v>Что оценивается</x:v>
      </x:c>
      <x:c r="B6" s="7" t="str">
        <x:v>Альтернатива</x:v>
      </x:c>
      <x:c r="C6" s="7" t="str">
        <x:v>Критерий</x:v>
      </x:c>
      <x:c r="D6" s="7" t="str">
        <x:v>Мартин</x:v>
      </x:c>
      <x:c r="E6" s="7" t="str">
        <x:v>Никита</x:v>
      </x:c>
      <x:c r="F6" s="7" t="str">
        <x:v>Акнур</x:v>
      </x:c>
      <x:c r="G6" s="7" t="str">
        <x:v>Пессимистичная</x:v>
      </x:c>
      <x:c r="H6" s="7" t="str">
        <x:v>Ожидаемая</x:v>
      </x:c>
      <x:c r="I6" s="7" t="str">
        <x:v>Оптимистичная</x:v>
      </x:c>
      <x:c r="J6" s="7" t="str">
        <x:v>Статус</x:v>
      </x:c>
    </x:row>
    <x:row r="7" ht="23" customHeight="1">
      <x:c r="A7" s="2" t="str">
        <x:v>Важность критерия</x:v>
      </x:c>
      <x:c r="B7" s="2" t="str"/>
      <x:c r="C7" s="2" t="str">
        <x:v>K1</x:v>
      </x:c>
      <x:c r="D7" s="13" t="n">
        <x:v>8</x:v>
      </x:c>
      <x:c r="E7" s="13" t="n">
        <x:v>7</x:v>
      </x:c>
      <x:c r="F7" s="13" t="n">
        <x:v>8</x:v>
      </x:c>
      <x:c r="G7" s="14" t="n">
        <x:f>IF(COUNT(D7:F7)=3,MIN(D7:F7),"")</x:f>
        <x:v>7</x:v>
      </x:c>
      <x:c r="H7" s="14" t="n">
        <x:f>IF(COUNT(D7:F7)=3,MEDIAN(D7:F7),"")</x:f>
        <x:v>8</x:v>
      </x:c>
      <x:c r="I7" s="14" t="n">
        <x:f>IF(COUNT(D7:F7)=3,MAX(D7:F7),"")</x:f>
        <x:v>8</x:v>
      </x:c>
      <x:c r="J7" s="2" t="str">
        <x:f>IF(COUNT(D7:F7)=0,"Ожидает оценки",IF(COUNT(D7:F7)=3,"Готово","Не все оценки"))</x:f>
        <x:v>Готово</x:v>
      </x:c>
    </x:row>
    <x:row r="8" ht="23" customHeight="1">
      <x:c r="A8" s="2" t="str">
        <x:v>Важность критерия</x:v>
      </x:c>
      <x:c r="B8" s="2" t="str"/>
      <x:c r="C8" s="2" t="str">
        <x:v>K2</x:v>
      </x:c>
      <x:c r="D8" s="13" t="n">
        <x:v>9</x:v>
      </x:c>
      <x:c r="E8" s="13" t="n">
        <x:v>8</x:v>
      </x:c>
      <x:c r="F8" s="13" t="n">
        <x:v>9</x:v>
      </x:c>
      <x:c r="G8" s="14" t="n">
        <x:f>IF(COUNT(D8:F8)=3,MIN(D8:F8),"")</x:f>
        <x:v>8</x:v>
      </x:c>
      <x:c r="H8" s="14" t="n">
        <x:f>IF(COUNT(D8:F8)=3,MEDIAN(D8:F8),"")</x:f>
        <x:v>9</x:v>
      </x:c>
      <x:c r="I8" s="14" t="n">
        <x:f>IF(COUNT(D8:F8)=3,MAX(D8:F8),"")</x:f>
        <x:v>9</x:v>
      </x:c>
      <x:c r="J8" s="2" t="str">
        <x:f>IF(COUNT(D8:F8)=0,"Ожидает оценки",IF(COUNT(D8:F8)=3,"Готово","Не все оценки"))</x:f>
        <x:v>Готово</x:v>
      </x:c>
    </x:row>
    <x:row r="9" ht="23" customHeight="1">
      <x:c r="A9" s="2" t="str">
        <x:v>Важность критерия</x:v>
      </x:c>
      <x:c r="B9" s="2" t="str"/>
      <x:c r="C9" s="2" t="str">
        <x:v>K3</x:v>
      </x:c>
      <x:c r="D9" s="13" t="n">
        <x:v>7</x:v>
      </x:c>
      <x:c r="E9" s="13" t="n">
        <x:v>8</x:v>
      </x:c>
      <x:c r="F9" s="13" t="n">
        <x:v>8</x:v>
      </x:c>
      <x:c r="G9" s="14" t="n">
        <x:f>IF(COUNT(D9:F9)=3,MIN(D9:F9),"")</x:f>
        <x:v>7</x:v>
      </x:c>
      <x:c r="H9" s="14" t="n">
        <x:f>IF(COUNT(D9:F9)=3,MEDIAN(D9:F9),"")</x:f>
        <x:v>8</x:v>
      </x:c>
      <x:c r="I9" s="14" t="n">
        <x:f>IF(COUNT(D9:F9)=3,MAX(D9:F9),"")</x:f>
        <x:v>8</x:v>
      </x:c>
      <x:c r="J9" s="2" t="str">
        <x:f>IF(COUNT(D9:F9)=0,"Ожидает оценки",IF(COUNT(D9:F9)=3,"Готово","Не все оценки"))</x:f>
        <x:v>Готово</x:v>
      </x:c>
    </x:row>
    <x:row r="10" ht="23" customHeight="1">
      <x:c r="A10" s="2" t="str">
        <x:v>Важность критерия</x:v>
      </x:c>
      <x:c r="B10" s="2" t="str"/>
      <x:c r="C10" s="2" t="str">
        <x:v>K4</x:v>
      </x:c>
      <x:c r="D10" s="13" t="n">
        <x:v>8</x:v>
      </x:c>
      <x:c r="E10" s="13" t="n">
        <x:v>7</x:v>
      </x:c>
      <x:c r="F10" s="13" t="n">
        <x:v>8</x:v>
      </x:c>
      <x:c r="G10" s="14" t="n">
        <x:f>IF(COUNT(D10:F10)=3,MIN(D10:F10),"")</x:f>
        <x:v>7</x:v>
      </x:c>
      <x:c r="H10" s="14" t="n">
        <x:f>IF(COUNT(D10:F10)=3,MEDIAN(D10:F10),"")</x:f>
        <x:v>8</x:v>
      </x:c>
      <x:c r="I10" s="14" t="n">
        <x:f>IF(COUNT(D10:F10)=3,MAX(D10:F10),"")</x:f>
        <x:v>8</x:v>
      </x:c>
      <x:c r="J10" s="2" t="str">
        <x:f>IF(COUNT(D10:F10)=0,"Ожидает оценки",IF(COUNT(D10:F10)=3,"Готово","Не все оценки"))</x:f>
        <x:v>Готово</x:v>
      </x:c>
    </x:row>
    <x:row r="11" ht="23" customHeight="1">
      <x:c r="A11" s="2" t="str">
        <x:v>Оценка концепции</x:v>
      </x:c>
      <x:c r="B11" s="2" t="str">
        <x:v>A</x:v>
      </x:c>
      <x:c r="C11" s="2" t="str">
        <x:v>K1</x:v>
      </x:c>
      <x:c r="D11" s="13" t="n">
        <x:v>8</x:v>
      </x:c>
      <x:c r="E11" s="13" t="n">
        <x:v>8</x:v>
      </x:c>
      <x:c r="F11" s="13" t="n">
        <x:v>9</x:v>
      </x:c>
      <x:c r="G11" s="14" t="n">
        <x:f>IF(COUNT(D11:F11)=3,MIN(D11:F11),"")</x:f>
        <x:v>8</x:v>
      </x:c>
      <x:c r="H11" s="14" t="n">
        <x:f>IF(COUNT(D11:F11)=3,MEDIAN(D11:F11),"")</x:f>
        <x:v>8</x:v>
      </x:c>
      <x:c r="I11" s="14" t="n">
        <x:f>IF(COUNT(D11:F11)=3,MAX(D11:F11),"")</x:f>
        <x:v>9</x:v>
      </x:c>
      <x:c r="J11" s="2" t="str">
        <x:f>IF(COUNT(D11:F11)=0,"Ожидает оценки",IF(COUNT(D11:F11)=3,"Готово","Не все оценки"))</x:f>
        <x:v>Готово</x:v>
      </x:c>
    </x:row>
    <x:row r="12" ht="23" customHeight="1">
      <x:c r="A12" s="2" t="str">
        <x:v>Оценка концепции</x:v>
      </x:c>
      <x:c r="B12" s="2" t="str">
        <x:v>A</x:v>
      </x:c>
      <x:c r="C12" s="2" t="str">
        <x:v>K2</x:v>
      </x:c>
      <x:c r="D12" s="13" t="n">
        <x:v>8</x:v>
      </x:c>
      <x:c r="E12" s="13" t="n">
        <x:v>7</x:v>
      </x:c>
      <x:c r="F12" s="13" t="n">
        <x:v>8</x:v>
      </x:c>
      <x:c r="G12" s="14" t="n">
        <x:f>IF(COUNT(D12:F12)=3,MIN(D12:F12),"")</x:f>
        <x:v>7</x:v>
      </x:c>
      <x:c r="H12" s="14" t="n">
        <x:f>IF(COUNT(D12:F12)=3,MEDIAN(D12:F12),"")</x:f>
        <x:v>8</x:v>
      </x:c>
      <x:c r="I12" s="14" t="n">
        <x:f>IF(COUNT(D12:F12)=3,MAX(D12:F12),"")</x:f>
        <x:v>8</x:v>
      </x:c>
      <x:c r="J12" s="2" t="str">
        <x:f>IF(COUNT(D12:F12)=0,"Ожидает оценки",IF(COUNT(D12:F12)=3,"Готово","Не все оценки"))</x:f>
        <x:v>Готово</x:v>
      </x:c>
    </x:row>
    <x:row r="13" ht="23" customHeight="1">
      <x:c r="A13" s="2" t="str">
        <x:v>Оценка концепции</x:v>
      </x:c>
      <x:c r="B13" s="2" t="str">
        <x:v>A</x:v>
      </x:c>
      <x:c r="C13" s="2" t="str">
        <x:v>K3</x:v>
      </x:c>
      <x:c r="D13" s="13" t="n">
        <x:v>9</x:v>
      </x:c>
      <x:c r="E13" s="13" t="n">
        <x:v>8</x:v>
      </x:c>
      <x:c r="F13" s="13" t="n">
        <x:v>9</x:v>
      </x:c>
      <x:c r="G13" s="14" t="n">
        <x:f>IF(COUNT(D13:F13)=3,MIN(D13:F13),"")</x:f>
        <x:v>8</x:v>
      </x:c>
      <x:c r="H13" s="14" t="n">
        <x:f>IF(COUNT(D13:F13)=3,MEDIAN(D13:F13),"")</x:f>
        <x:v>9</x:v>
      </x:c>
      <x:c r="I13" s="14" t="n">
        <x:f>IF(COUNT(D13:F13)=3,MAX(D13:F13),"")</x:f>
        <x:v>9</x:v>
      </x:c>
      <x:c r="J13" s="2" t="str">
        <x:f>IF(COUNT(D13:F13)=0,"Ожидает оценки",IF(COUNT(D13:F13)=3,"Готово","Не все оценки"))</x:f>
        <x:v>Готово</x:v>
      </x:c>
    </x:row>
    <x:row r="14" ht="23" customHeight="1">
      <x:c r="A14" s="2" t="str">
        <x:v>Оценка концепции</x:v>
      </x:c>
      <x:c r="B14" s="2" t="str">
        <x:v>A</x:v>
      </x:c>
      <x:c r="C14" s="2" t="str">
        <x:v>K4</x:v>
      </x:c>
      <x:c r="D14" s="13" t="n">
        <x:v>8</x:v>
      </x:c>
      <x:c r="E14" s="13" t="n">
        <x:v>9</x:v>
      </x:c>
      <x:c r="F14" s="13" t="n">
        <x:v>8</x:v>
      </x:c>
      <x:c r="G14" s="14" t="n">
        <x:f>IF(COUNT(D14:F14)=3,MIN(D14:F14),"")</x:f>
        <x:v>8</x:v>
      </x:c>
      <x:c r="H14" s="14" t="n">
        <x:f>IF(COUNT(D14:F14)=3,MEDIAN(D14:F14),"")</x:f>
        <x:v>8</x:v>
      </x:c>
      <x:c r="I14" s="14" t="n">
        <x:f>IF(COUNT(D14:F14)=3,MAX(D14:F14),"")</x:f>
        <x:v>9</x:v>
      </x:c>
      <x:c r="J14" s="2" t="str">
        <x:f>IF(COUNT(D14:F14)=0,"Ожидает оценки",IF(COUNT(D14:F14)=3,"Готово","Не все оценки"))</x:f>
        <x:v>Готово</x:v>
      </x:c>
    </x:row>
    <x:row r="15" ht="23" customHeight="1">
      <x:c r="A15" s="2" t="str">
        <x:v>Оценка концепции</x:v>
      </x:c>
      <x:c r="B15" s="2" t="str">
        <x:v>B</x:v>
      </x:c>
      <x:c r="C15" s="2" t="str">
        <x:v>K1</x:v>
      </x:c>
      <x:c r="D15" s="13" t="n">
        <x:v>7</x:v>
      </x:c>
      <x:c r="E15" s="13" t="n">
        <x:v>8</x:v>
      </x:c>
      <x:c r="F15" s="13" t="n">
        <x:v>7</x:v>
      </x:c>
      <x:c r="G15" s="14" t="n">
        <x:f>IF(COUNT(D15:F15)=3,MIN(D15:F15),"")</x:f>
        <x:v>7</x:v>
      </x:c>
      <x:c r="H15" s="14" t="n">
        <x:f>IF(COUNT(D15:F15)=3,MEDIAN(D15:F15),"")</x:f>
        <x:v>7</x:v>
      </x:c>
      <x:c r="I15" s="14" t="n">
        <x:f>IF(COUNT(D15:F15)=3,MAX(D15:F15),"")</x:f>
        <x:v>8</x:v>
      </x:c>
      <x:c r="J15" s="2" t="str">
        <x:f>IF(COUNT(D15:F15)=0,"Ожидает оценки",IF(COUNT(D15:F15)=3,"Готово","Не все оценки"))</x:f>
        <x:v>Готово</x:v>
      </x:c>
    </x:row>
    <x:row r="16" ht="23" customHeight="1">
      <x:c r="A16" s="2" t="str">
        <x:v>Оценка концепции</x:v>
      </x:c>
      <x:c r="B16" s="2" t="str">
        <x:v>B</x:v>
      </x:c>
      <x:c r="C16" s="2" t="str">
        <x:v>K2</x:v>
      </x:c>
      <x:c r="D16" s="13" t="n">
        <x:v>8</x:v>
      </x:c>
      <x:c r="E16" s="13" t="n">
        <x:v>8</x:v>
      </x:c>
      <x:c r="F16" s="13" t="n">
        <x:v>7</x:v>
      </x:c>
      <x:c r="G16" s="14" t="n">
        <x:f>IF(COUNT(D16:F16)=3,MIN(D16:F16),"")</x:f>
        <x:v>7</x:v>
      </x:c>
      <x:c r="H16" s="14" t="n">
        <x:f>IF(COUNT(D16:F16)=3,MEDIAN(D16:F16),"")</x:f>
        <x:v>8</x:v>
      </x:c>
      <x:c r="I16" s="14" t="n">
        <x:f>IF(COUNT(D16:F16)=3,MAX(D16:F16),"")</x:f>
        <x:v>8</x:v>
      </x:c>
      <x:c r="J16" s="2" t="str">
        <x:f>IF(COUNT(D16:F16)=0,"Ожидает оценки",IF(COUNT(D16:F16)=3,"Готово","Не все оценки"))</x:f>
        <x:v>Готово</x:v>
      </x:c>
    </x:row>
    <x:row r="17" ht="23" customHeight="1">
      <x:c r="A17" s="2" t="str">
        <x:v>Оценка концепции</x:v>
      </x:c>
      <x:c r="B17" s="2" t="str">
        <x:v>B</x:v>
      </x:c>
      <x:c r="C17" s="2" t="str">
        <x:v>K3</x:v>
      </x:c>
      <x:c r="D17" s="13" t="n">
        <x:v>8</x:v>
      </x:c>
      <x:c r="E17" s="13" t="n">
        <x:v>8</x:v>
      </x:c>
      <x:c r="F17" s="13" t="n">
        <x:v>7</x:v>
      </x:c>
      <x:c r="G17" s="14" t="n">
        <x:f>IF(COUNT(D17:F17)=3,MIN(D17:F17),"")</x:f>
        <x:v>7</x:v>
      </x:c>
      <x:c r="H17" s="14" t="n">
        <x:f>IF(COUNT(D17:F17)=3,MEDIAN(D17:F17),"")</x:f>
        <x:v>8</x:v>
      </x:c>
      <x:c r="I17" s="14" t="n">
        <x:f>IF(COUNT(D17:F17)=3,MAX(D17:F17),"")</x:f>
        <x:v>8</x:v>
      </x:c>
      <x:c r="J17" s="2" t="str">
        <x:f>IF(COUNT(D17:F17)=0,"Ожидает оценки",IF(COUNT(D17:F17)=3,"Готово","Не все оценки"))</x:f>
        <x:v>Готово</x:v>
      </x:c>
    </x:row>
    <x:row r="18" ht="23" customHeight="1">
      <x:c r="A18" s="2" t="str">
        <x:v>Оценка концепции</x:v>
      </x:c>
      <x:c r="B18" s="2" t="str">
        <x:v>B</x:v>
      </x:c>
      <x:c r="C18" s="2" t="str">
        <x:v>K4</x:v>
      </x:c>
      <x:c r="D18" s="13" t="n">
        <x:v>8</x:v>
      </x:c>
      <x:c r="E18" s="13" t="n">
        <x:v>7</x:v>
      </x:c>
      <x:c r="F18" s="13" t="n">
        <x:v>8</x:v>
      </x:c>
      <x:c r="G18" s="14" t="n">
        <x:f>IF(COUNT(D18:F18)=3,MIN(D18:F18),"")</x:f>
        <x:v>7</x:v>
      </x:c>
      <x:c r="H18" s="14" t="n">
        <x:f>IF(COUNT(D18:F18)=3,MEDIAN(D18:F18),"")</x:f>
        <x:v>8</x:v>
      </x:c>
      <x:c r="I18" s="14" t="n">
        <x:f>IF(COUNT(D18:F18)=3,MAX(D18:F18),"")</x:f>
        <x:v>8</x:v>
      </x:c>
      <x:c r="J18" s="2" t="str">
        <x:f>IF(COUNT(D18:F18)=0,"Ожидает оценки",IF(COUNT(D18:F18)=3,"Готово","Не все оценки"))</x:f>
        <x:v>Готово</x:v>
      </x:c>
    </x:row>
    <x:row r="19" ht="23" customHeight="1">
      <x:c r="A19" s="2" t="str">
        <x:v>Оценка концепции</x:v>
      </x:c>
      <x:c r="B19" s="2" t="str">
        <x:v>C</x:v>
      </x:c>
      <x:c r="C19" s="2" t="str">
        <x:v>K1</x:v>
      </x:c>
      <x:c r="D19" s="13" t="n">
        <x:v>8</x:v>
      </x:c>
      <x:c r="E19" s="13" t="n">
        <x:v>7</x:v>
      </x:c>
      <x:c r="F19" s="13" t="n">
        <x:v>8</x:v>
      </x:c>
      <x:c r="G19" s="14" t="n">
        <x:f>IF(COUNT(D19:F19)=3,MIN(D19:F19),"")</x:f>
        <x:v>7</x:v>
      </x:c>
      <x:c r="H19" s="14" t="n">
        <x:f>IF(COUNT(D19:F19)=3,MEDIAN(D19:F19),"")</x:f>
        <x:v>8</x:v>
      </x:c>
      <x:c r="I19" s="14" t="n">
        <x:f>IF(COUNT(D19:F19)=3,MAX(D19:F19),"")</x:f>
        <x:v>8</x:v>
      </x:c>
      <x:c r="J19" s="2" t="str">
        <x:f>IF(COUNT(D19:F19)=0,"Ожидает оценки",IF(COUNT(D19:F19)=3,"Готово","Не все оценки"))</x:f>
        <x:v>Готово</x:v>
      </x:c>
    </x:row>
    <x:row r="20" ht="23" customHeight="1">
      <x:c r="A20" s="2" t="str">
        <x:v>Оценка концепции</x:v>
      </x:c>
      <x:c r="B20" s="2" t="str">
        <x:v>C</x:v>
      </x:c>
      <x:c r="C20" s="2" t="str">
        <x:v>K2</x:v>
      </x:c>
      <x:c r="D20" s="13" t="n">
        <x:v>7</x:v>
      </x:c>
      <x:c r="E20" s="13" t="n">
        <x:v>6</x:v>
      </x:c>
      <x:c r="F20" s="13" t="n">
        <x:v>7</x:v>
      </x:c>
      <x:c r="G20" s="14" t="n">
        <x:f>IF(COUNT(D20:F20)=3,MIN(D20:F20),"")</x:f>
        <x:v>6</x:v>
      </x:c>
      <x:c r="H20" s="14" t="n">
        <x:f>IF(COUNT(D20:F20)=3,MEDIAN(D20:F20),"")</x:f>
        <x:v>7</x:v>
      </x:c>
      <x:c r="I20" s="14" t="n">
        <x:f>IF(COUNT(D20:F20)=3,MAX(D20:F20),"")</x:f>
        <x:v>7</x:v>
      </x:c>
      <x:c r="J20" s="2" t="str">
        <x:f>IF(COUNT(D20:F20)=0,"Ожидает оценки",IF(COUNT(D20:F20)=3,"Готово","Не все оценки"))</x:f>
        <x:v>Готово</x:v>
      </x:c>
    </x:row>
    <x:row r="21" ht="23" customHeight="1">
      <x:c r="A21" s="2" t="str">
        <x:v>Оценка концепции</x:v>
      </x:c>
      <x:c r="B21" s="2" t="str">
        <x:v>C</x:v>
      </x:c>
      <x:c r="C21" s="2" t="str">
        <x:v>K3</x:v>
      </x:c>
      <x:c r="D21" s="13" t="n">
        <x:v>7</x:v>
      </x:c>
      <x:c r="E21" s="13" t="n">
        <x:v>8</x:v>
      </x:c>
      <x:c r="F21" s="13" t="n">
        <x:v>7</x:v>
      </x:c>
      <x:c r="G21" s="14" t="n">
        <x:f>IF(COUNT(D21:F21)=3,MIN(D21:F21),"")</x:f>
        <x:v>7</x:v>
      </x:c>
      <x:c r="H21" s="14" t="n">
        <x:f>IF(COUNT(D21:F21)=3,MEDIAN(D21:F21),"")</x:f>
        <x:v>7</x:v>
      </x:c>
      <x:c r="I21" s="14" t="n">
        <x:f>IF(COUNT(D21:F21)=3,MAX(D21:F21),"")</x:f>
        <x:v>8</x:v>
      </x:c>
      <x:c r="J21" s="2" t="str">
        <x:f>IF(COUNT(D21:F21)=0,"Ожидает оценки",IF(COUNT(D21:F21)=3,"Готово","Не все оценки"))</x:f>
        <x:v>Готово</x:v>
      </x:c>
    </x:row>
    <x:row r="22" ht="23" customHeight="1">
      <x:c r="A22" s="2" t="str">
        <x:v>Оценка концепции</x:v>
      </x:c>
      <x:c r="B22" s="2" t="str">
        <x:v>C</x:v>
      </x:c>
      <x:c r="C22" s="2" t="str">
        <x:v>K4</x:v>
      </x:c>
      <x:c r="D22" s="13" t="n">
        <x:v>7</x:v>
      </x:c>
      <x:c r="E22" s="13" t="n">
        <x:v>7</x:v>
      </x:c>
      <x:c r="F22" s="13" t="n">
        <x:v>8</x:v>
      </x:c>
      <x:c r="G22" s="14" t="n">
        <x:f>IF(COUNT(D22:F22)=3,MIN(D22:F22),"")</x:f>
        <x:v>7</x:v>
      </x:c>
      <x:c r="H22" s="14" t="n">
        <x:f>IF(COUNT(D22:F22)=3,MEDIAN(D22:F22),"")</x:f>
        <x:v>7</x:v>
      </x:c>
      <x:c r="I22" s="14" t="n">
        <x:f>IF(COUNT(D22:F22)=3,MAX(D22:F22),"")</x:f>
        <x:v>8</x:v>
      </x:c>
      <x:c r="J22" s="2" t="str">
        <x:f>IF(COUNT(D22:F22)=0,"Ожидает оценки",IF(COUNT(D22:F22)=3,"Готово","Не все оценки"))</x:f>
        <x:v>Готово</x:v>
      </x:c>
    </x:row>
    <x:row r="23" ht="23" customHeight="1">
      <x:c r="A23" s="2" t="str">
        <x:v>Оценка концепции</x:v>
      </x:c>
      <x:c r="B23" s="2" t="str">
        <x:v>D</x:v>
      </x:c>
      <x:c r="C23" s="2" t="str">
        <x:v>K1</x:v>
      </x:c>
      <x:c r="D23" s="13" t="n">
        <x:v>6</x:v>
      </x:c>
      <x:c r="E23" s="13" t="n">
        <x:v>7</x:v>
      </x:c>
      <x:c r="F23" s="13" t="n">
        <x:v>6</x:v>
      </x:c>
      <x:c r="G23" s="14" t="n">
        <x:f>IF(COUNT(D23:F23)=3,MIN(D23:F23),"")</x:f>
        <x:v>6</x:v>
      </x:c>
      <x:c r="H23" s="14" t="n">
        <x:f>IF(COUNT(D23:F23)=3,MEDIAN(D23:F23),"")</x:f>
        <x:v>6</x:v>
      </x:c>
      <x:c r="I23" s="14" t="n">
        <x:f>IF(COUNT(D23:F23)=3,MAX(D23:F23),"")</x:f>
        <x:v>7</x:v>
      </x:c>
      <x:c r="J23" s="2" t="str">
        <x:f>IF(COUNT(D23:F23)=0,"Ожидает оценки",IF(COUNT(D23:F23)=3,"Готово","Не все оценки"))</x:f>
        <x:v>Готово</x:v>
      </x:c>
    </x:row>
    <x:row r="24" ht="23" customHeight="1">
      <x:c r="A24" s="2" t="str">
        <x:v>Оценка концепции</x:v>
      </x:c>
      <x:c r="B24" s="2" t="str">
        <x:v>D</x:v>
      </x:c>
      <x:c r="C24" s="2" t="str">
        <x:v>K2</x:v>
      </x:c>
      <x:c r="D24" s="13" t="n">
        <x:v>9</x:v>
      </x:c>
      <x:c r="E24" s="13" t="n">
        <x:v>9</x:v>
      </x:c>
      <x:c r="F24" s="13" t="n">
        <x:v>8</x:v>
      </x:c>
      <x:c r="G24" s="14" t="n">
        <x:f>IF(COUNT(D24:F24)=3,MIN(D24:F24),"")</x:f>
        <x:v>8</x:v>
      </x:c>
      <x:c r="H24" s="14" t="n">
        <x:f>IF(COUNT(D24:F24)=3,MEDIAN(D24:F24),"")</x:f>
        <x:v>9</x:v>
      </x:c>
      <x:c r="I24" s="14" t="n">
        <x:f>IF(COUNT(D24:F24)=3,MAX(D24:F24),"")</x:f>
        <x:v>9</x:v>
      </x:c>
      <x:c r="J24" s="2" t="str">
        <x:f>IF(COUNT(D24:F24)=0,"Ожидает оценки",IF(COUNT(D24:F24)=3,"Готово","Не все оценки"))</x:f>
        <x:v>Готово</x:v>
      </x:c>
    </x:row>
    <x:row r="25" ht="23" customHeight="1">
      <x:c r="A25" s="2" t="str">
        <x:v>Оценка концепции</x:v>
      </x:c>
      <x:c r="B25" s="2" t="str">
        <x:v>D</x:v>
      </x:c>
      <x:c r="C25" s="2" t="str">
        <x:v>K3</x:v>
      </x:c>
      <x:c r="D25" s="13" t="n">
        <x:v>8</x:v>
      </x:c>
      <x:c r="E25" s="13" t="n">
        <x:v>7</x:v>
      </x:c>
      <x:c r="F25" s="13" t="n">
        <x:v>8</x:v>
      </x:c>
      <x:c r="G25" s="14" t="n">
        <x:f>IF(COUNT(D25:F25)=3,MIN(D25:F25),"")</x:f>
        <x:v>7</x:v>
      </x:c>
      <x:c r="H25" s="14" t="n">
        <x:f>IF(COUNT(D25:F25)=3,MEDIAN(D25:F25),"")</x:f>
        <x:v>8</x:v>
      </x:c>
      <x:c r="I25" s="14" t="n">
        <x:f>IF(COUNT(D25:F25)=3,MAX(D25:F25),"")</x:f>
        <x:v>8</x:v>
      </x:c>
      <x:c r="J25" s="2" t="str">
        <x:f>IF(COUNT(D25:F25)=0,"Ожидает оценки",IF(COUNT(D25:F25)=3,"Готово","Не все оценки"))</x:f>
        <x:v>Готово</x:v>
      </x:c>
    </x:row>
    <x:row r="26" ht="23" customHeight="1">
      <x:c r="A26" s="2" t="str">
        <x:v>Оценка концепции</x:v>
      </x:c>
      <x:c r="B26" s="2" t="str">
        <x:v>D</x:v>
      </x:c>
      <x:c r="C26" s="2" t="str">
        <x:v>K4</x:v>
      </x:c>
      <x:c r="D26" s="13" t="n">
        <x:v>7</x:v>
      </x:c>
      <x:c r="E26" s="13" t="n">
        <x:v>8</x:v>
      </x:c>
      <x:c r="F26" s="13" t="n">
        <x:v>7</x:v>
      </x:c>
      <x:c r="G26" s="14" t="n">
        <x:f>IF(COUNT(D26:F26)=3,MIN(D26:F26),"")</x:f>
        <x:v>7</x:v>
      </x:c>
      <x:c r="H26" s="14" t="n">
        <x:f>IF(COUNT(D26:F26)=3,MEDIAN(D26:F26),"")</x:f>
        <x:v>7</x:v>
      </x:c>
      <x:c r="I26" s="14" t="n">
        <x:f>IF(COUNT(D26:F26)=3,MAX(D26:F26),"")</x:f>
        <x:v>8</x:v>
      </x:c>
      <x:c r="J26" s="2" t="str">
        <x:f>IF(COUNT(D26:F26)=0,"Ожидает оценки",IF(COUNT(D26:F26)=3,"Готово","Не все оценки"))</x:f>
        <x:v>Готово</x:v>
      </x:c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</x:sheetData>
  <x:dataValidations count="1">
    <x:dataValidation type="whole" operator="between" sqref="D7:F26">
      <x:formula1>1</x:formula1>
      <x:formula2>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AA8C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1" hidden="0" customWidth="1"/>
    <x:col min="5" max="5" width="11" hidden="0" customWidth="1"/>
    <x:col min="6" max="6" width="11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9" customHeight="1">
      <x:c r="A2" s="3" t="str">
        <x:v>Парные сравнения для коллективного МАИ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1" customHeight="1">
      <x:c r="A4" s="11" t="str">
        <x:v>Согласованные командой оценки. Мартин = М1; Никита = М2; Акнур = М3.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1" customHeight="1">
      <x:c r="A5" s="11" t="str">
        <x:v>Шкала: 3 умеренное, 5 сильное, 7 очень сильное, 9 крайнее предпочтение; 2, 4, 6, 8 — промежуточные уровни.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7" t="str">
        <x:v>Матрица</x:v>
      </x:c>
      <x:c r="B7" s="7" t="str">
        <x:v>Первый</x:v>
      </x:c>
      <x:c r="C7" s="7" t="str">
        <x:v>Второй</x:v>
      </x:c>
      <x:c r="D7" s="7" t="str">
        <x:v>Мартин</x:v>
      </x:c>
      <x:c r="E7" s="7" t="str">
        <x:v>Никита</x:v>
      </x:c>
      <x:c r="F7" s="7" t="str">
        <x:v>Акнур</x:v>
      </x:c>
      <x:c r="G7" s="7" t="str">
        <x:v>Отношение У1</x:v>
      </x:c>
      <x:c r="H7" s="7" t="str">
        <x:v>Отношение У2</x:v>
      </x:c>
      <x:c r="I7" s="7" t="str">
        <x:v>Отношение У3</x:v>
      </x:c>
      <x:c r="J7" s="7" t="str">
        <x:v>Групповое отношение</x:v>
      </x:c>
      <x:c r="K7" s="7" t="str">
        <x:v>Статус</x:v>
      </x:c>
    </x:row>
    <x:row r="8" ht="23" customHeight="1">
      <x:c r="A8" s="2" t="str">
        <x:v>Критерии</x:v>
      </x:c>
      <x:c r="B8" s="2" t="str">
        <x:v>K1</x:v>
      </x:c>
      <x:c r="C8" s="2" t="str">
        <x:v>K2</x:v>
      </x:c>
      <x:c r="D8" s="13" t="n">
        <x:v>-3</x:v>
      </x:c>
      <x:c r="E8" s="13" t="n">
        <x:v>0</x:v>
      </x:c>
      <x:c r="F8" s="13" t="n">
        <x:v>2</x:v>
      </x:c>
      <x:c r="G8" s="15" t="n">
        <x:f>IF(ISNUMBER(D8),IF(D8=0,1,IF(D8&gt;0,D8,1/ABS(D8))),"")</x:f>
        <x:v>0.3333333333333333</x:v>
      </x:c>
      <x:c r="H8" s="15" t="n">
        <x:f>IF(ISNUMBER(E8),IF(E8=0,1,IF(E8&gt;0,E8,1/ABS(E8))),"")</x:f>
        <x:v>1</x:v>
      </x:c>
      <x:c r="I8" s="15" t="n">
        <x:f>IF(ISNUMBER(F8),IF(F8=0,1,IF(F8&gt;0,F8,1/ABS(F8))),"")</x:f>
        <x:v>2</x:v>
      </x:c>
      <x:c r="J8" s="15" t="n">
        <x:f>IF(COUNT(G8:I8)=3,GEOMEAN(G8:I8),"")</x:f>
        <x:v>0.8735804647362988</x:v>
      </x:c>
      <x:c r="K8" s="2" t="str">
        <x:f>IF(COUNT(D8:F8)=0,"Ожидает оценки",IF(COUNT(D8:F8)=3,"Готово","Не все оценки"))</x:f>
        <x:v>Готово</x:v>
      </x:c>
    </x:row>
    <x:row r="9" ht="23" customHeight="1">
      <x:c r="A9" s="2" t="str">
        <x:v>Критерии</x:v>
      </x:c>
      <x:c r="B9" s="2" t="str">
        <x:v>K1</x:v>
      </x:c>
      <x:c r="C9" s="2" t="str">
        <x:v>K3</x:v>
      </x:c>
      <x:c r="D9" s="13" t="n">
        <x:v>0</x:v>
      </x:c>
      <x:c r="E9" s="13" t="n">
        <x:v>-2</x:v>
      </x:c>
      <x:c r="F9" s="13" t="n">
        <x:v>2</x:v>
      </x:c>
      <x:c r="G9" s="15" t="n">
        <x:f>IF(ISNUMBER(D9),IF(D9=0,1,IF(D9&gt;0,D9,1/ABS(D9))),"")</x:f>
        <x:v>1</x:v>
      </x:c>
      <x:c r="H9" s="15" t="n">
        <x:f>IF(ISNUMBER(E9),IF(E9=0,1,IF(E9&gt;0,E9,1/ABS(E9))),"")</x:f>
        <x:v>0.5</x:v>
      </x:c>
      <x:c r="I9" s="15" t="n">
        <x:f>IF(ISNUMBER(F9),IF(F9=0,1,IF(F9&gt;0,F9,1/ABS(F9))),"")</x:f>
        <x:v>2</x:v>
      </x:c>
      <x:c r="J9" s="15" t="n">
        <x:f>IF(COUNT(G9:I9)=3,GEOMEAN(G9:I9),"")</x:f>
        <x:v>1</x:v>
      </x:c>
      <x:c r="K9" s="2" t="str">
        <x:f>IF(COUNT(D9:F9)=0,"Ожидает оценки",IF(COUNT(D9:F9)=3,"Готово","Не все оценки"))</x:f>
        <x:v>Готово</x:v>
      </x:c>
    </x:row>
    <x:row r="10" ht="23" customHeight="1">
      <x:c r="A10" s="2" t="str">
        <x:v>Критерии</x:v>
      </x:c>
      <x:c r="B10" s="2" t="str">
        <x:v>K1</x:v>
      </x:c>
      <x:c r="C10" s="2" t="str">
        <x:v>K4</x:v>
      </x:c>
      <x:c r="D10" s="13" t="n">
        <x:v>0</x:v>
      </x:c>
      <x:c r="E10" s="13" t="n">
        <x:v>0</x:v>
      </x:c>
      <x:c r="F10" s="13" t="n">
        <x:v>3</x:v>
      </x:c>
      <x:c r="G10" s="15" t="n">
        <x:f>IF(ISNUMBER(D10),IF(D10=0,1,IF(D10&gt;0,D10,1/ABS(D10))),"")</x:f>
        <x:v>1</x:v>
      </x:c>
      <x:c r="H10" s="15" t="n">
        <x:f>IF(ISNUMBER(E10),IF(E10=0,1,IF(E10&gt;0,E10,1/ABS(E10))),"")</x:f>
        <x:v>1</x:v>
      </x:c>
      <x:c r="I10" s="15" t="n">
        <x:f>IF(ISNUMBER(F10),IF(F10=0,1,IF(F10&gt;0,F10,1/ABS(F10))),"")</x:f>
        <x:v>3</x:v>
      </x:c>
      <x:c r="J10" s="15" t="n">
        <x:f>IF(COUNT(G10:I10)=3,GEOMEAN(G10:I10),"")</x:f>
        <x:v>1.4422495703074083</x:v>
      </x:c>
      <x:c r="K10" s="2" t="str">
        <x:f>IF(COUNT(D10:F10)=0,"Ожидает оценки",IF(COUNT(D10:F10)=3,"Готово","Не все оценки"))</x:f>
        <x:v>Готово</x:v>
      </x:c>
    </x:row>
    <x:row r="11" ht="23" customHeight="1">
      <x:c r="A11" s="2" t="str">
        <x:v>Критерии</x:v>
      </x:c>
      <x:c r="B11" s="2" t="str">
        <x:v>K2</x:v>
      </x:c>
      <x:c r="C11" s="2" t="str">
        <x:v>K3</x:v>
      </x:c>
      <x:c r="D11" s="13" t="n">
        <x:v>2</x:v>
      </x:c>
      <x:c r="E11" s="13" t="n">
        <x:v>-3</x:v>
      </x:c>
      <x:c r="F11" s="13" t="n">
        <x:v>0</x:v>
      </x:c>
      <x:c r="G11" s="15" t="n">
        <x:f>IF(ISNUMBER(D11),IF(D11=0,1,IF(D11&gt;0,D11,1/ABS(D11))),"")</x:f>
        <x:v>2</x:v>
      </x:c>
      <x:c r="H11" s="15" t="n">
        <x:f>IF(ISNUMBER(E11),IF(E11=0,1,IF(E11&gt;0,E11,1/ABS(E11))),"")</x:f>
        <x:v>0.3333333333333333</x:v>
      </x:c>
      <x:c r="I11" s="15" t="n">
        <x:f>IF(ISNUMBER(F11),IF(F11=0,1,IF(F11&gt;0,F11,1/ABS(F11))),"")</x:f>
        <x:v>1</x:v>
      </x:c>
      <x:c r="J11" s="15" t="n">
        <x:f>IF(COUNT(G11:I11)=3,GEOMEAN(G11:I11),"")</x:f>
        <x:v>0.8735804647362988</x:v>
      </x:c>
      <x:c r="K11" s="2" t="str">
        <x:f>IF(COUNT(D11:F11)=0,"Ожидает оценки",IF(COUNT(D11:F11)=3,"Готово","Не все оценки"))</x:f>
        <x:v>Готово</x:v>
      </x:c>
    </x:row>
    <x:row r="12" ht="23" customHeight="1">
      <x:c r="A12" s="2" t="str">
        <x:v>Критерии</x:v>
      </x:c>
      <x:c r="B12" s="2" t="str">
        <x:v>K2</x:v>
      </x:c>
      <x:c r="C12" s="2" t="str">
        <x:v>K4</x:v>
      </x:c>
      <x:c r="D12" s="13" t="n">
        <x:v>2</x:v>
      </x:c>
      <x:c r="E12" s="13" t="n">
        <x:v>0</x:v>
      </x:c>
      <x:c r="F12" s="13" t="n">
        <x:v>0</x:v>
      </x:c>
      <x:c r="G12" s="15" t="n">
        <x:f>IF(ISNUMBER(D12),IF(D12=0,1,IF(D12&gt;0,D12,1/ABS(D12))),"")</x:f>
        <x:v>2</x:v>
      </x:c>
      <x:c r="H12" s="15" t="n">
        <x:f>IF(ISNUMBER(E12),IF(E12=0,1,IF(E12&gt;0,E12,1/ABS(E12))),"")</x:f>
        <x:v>1</x:v>
      </x:c>
      <x:c r="I12" s="15" t="n">
        <x:f>IF(ISNUMBER(F12),IF(F12=0,1,IF(F12&gt;0,F12,1/ABS(F12))),"")</x:f>
        <x:v>1</x:v>
      </x:c>
      <x:c r="J12" s="15" t="n">
        <x:f>IF(COUNT(G12:I12)=3,GEOMEAN(G12:I12),"")</x:f>
        <x:v>1.2599210498948732</x:v>
      </x:c>
      <x:c r="K12" s="2" t="str">
        <x:f>IF(COUNT(D12:F12)=0,"Ожидает оценки",IF(COUNT(D12:F12)=3,"Готово","Не все оценки"))</x:f>
        <x:v>Готово</x:v>
      </x:c>
    </x:row>
    <x:row r="13" ht="23" customHeight="1">
      <x:c r="A13" s="2" t="str">
        <x:v>Критерии</x:v>
      </x:c>
      <x:c r="B13" s="2" t="str">
        <x:v>K3</x:v>
      </x:c>
      <x:c r="C13" s="2" t="str">
        <x:v>K4</x:v>
      </x:c>
      <x:c r="D13" s="13" t="n">
        <x:v>0</x:v>
      </x:c>
      <x:c r="E13" s="13" t="n">
        <x:v>2</x:v>
      </x:c>
      <x:c r="F13" s="13" t="n">
        <x:v>0</x:v>
      </x:c>
      <x:c r="G13" s="15" t="n">
        <x:f>IF(ISNUMBER(D13),IF(D13=0,1,IF(D13&gt;0,D13,1/ABS(D13))),"")</x:f>
        <x:v>1</x:v>
      </x:c>
      <x:c r="H13" s="15" t="n">
        <x:f>IF(ISNUMBER(E13),IF(E13=0,1,IF(E13&gt;0,E13,1/ABS(E13))),"")</x:f>
        <x:v>2</x:v>
      </x:c>
      <x:c r="I13" s="15" t="n">
        <x:f>IF(ISNUMBER(F13),IF(F13=0,1,IF(F13&gt;0,F13,1/ABS(F13))),"")</x:f>
        <x:v>1</x:v>
      </x:c>
      <x:c r="J13" s="15" t="n">
        <x:f>IF(COUNT(G13:I13)=3,GEOMEAN(G13:I13),"")</x:f>
        <x:v>1.2599210498948732</x:v>
      </x:c>
      <x:c r="K13" s="2" t="str">
        <x:f>IF(COUNT(D13:F13)=0,"Ожидает оценки",IF(COUNT(D13:F13)=3,"Готово","Не все оценки"))</x:f>
        <x:v>Готово</x:v>
      </x:c>
    </x:row>
    <x:row r="14" ht="23" customHeight="1">
      <x:c r="A14" s="2" t="str">
        <x:v>K1</x:v>
      </x:c>
      <x:c r="B14" s="2" t="str">
        <x:v>A</x:v>
      </x:c>
      <x:c r="C14" s="2" t="str">
        <x:v>B</x:v>
      </x:c>
      <x:c r="D14" s="13" t="n">
        <x:v>3</x:v>
      </x:c>
      <x:c r="E14" s="13" t="n">
        <x:v>4</x:v>
      </x:c>
      <x:c r="F14" s="13" t="n">
        <x:v>2</x:v>
      </x:c>
      <x:c r="G14" s="15" t="n">
        <x:f>IF(ISNUMBER(D14),IF(D14=0,1,IF(D14&gt;0,D14,1/ABS(D14))),"")</x:f>
        <x:v>3</x:v>
      </x:c>
      <x:c r="H14" s="15" t="n">
        <x:f>IF(ISNUMBER(E14),IF(E14=0,1,IF(E14&gt;0,E14,1/ABS(E14))),"")</x:f>
        <x:v>4</x:v>
      </x:c>
      <x:c r="I14" s="15" t="n">
        <x:f>IF(ISNUMBER(F14),IF(F14=0,1,IF(F14&gt;0,F14,1/ABS(F14))),"")</x:f>
        <x:v>2</x:v>
      </x:c>
      <x:c r="J14" s="15" t="n">
        <x:f>IF(COUNT(G14:I14)=3,GEOMEAN(G14:I14),"")</x:f>
        <x:v>2.8844991406148166</x:v>
      </x:c>
      <x:c r="K14" s="2" t="str">
        <x:f>IF(COUNT(D14:F14)=0,"Ожидает оценки",IF(COUNT(D14:F14)=3,"Готово","Не все оценки"))</x:f>
        <x:v>Готово</x:v>
      </x:c>
    </x:row>
    <x:row r="15" ht="23" customHeight="1">
      <x:c r="A15" s="2" t="str">
        <x:v>K1</x:v>
      </x:c>
      <x:c r="B15" s="2" t="str">
        <x:v>A</x:v>
      </x:c>
      <x:c r="C15" s="2" t="str">
        <x:v>C</x:v>
      </x:c>
      <x:c r="D15" s="13" t="n">
        <x:v>2</x:v>
      </x:c>
      <x:c r="E15" s="13" t="n">
        <x:v>2</x:v>
      </x:c>
      <x:c r="F15" s="13" t="n">
        <x:v>0</x:v>
      </x:c>
      <x:c r="G15" s="15" t="n">
        <x:f>IF(ISNUMBER(D15),IF(D15=0,1,IF(D15&gt;0,D15,1/ABS(D15))),"")</x:f>
        <x:v>2</x:v>
      </x:c>
      <x:c r="H15" s="15" t="n">
        <x:f>IF(ISNUMBER(E15),IF(E15=0,1,IF(E15&gt;0,E15,1/ABS(E15))),"")</x:f>
        <x:v>2</x:v>
      </x:c>
      <x:c r="I15" s="15" t="n">
        <x:f>IF(ISNUMBER(F15),IF(F15=0,1,IF(F15&gt;0,F15,1/ABS(F15))),"")</x:f>
        <x:v>1</x:v>
      </x:c>
      <x:c r="J15" s="15" t="n">
        <x:f>IF(COUNT(G15:I15)=3,GEOMEAN(G15:I15),"")</x:f>
        <x:v>1.5874010519681994</x:v>
      </x:c>
      <x:c r="K15" s="2" t="str">
        <x:f>IF(COUNT(D15:F15)=0,"Ожидает оценки",IF(COUNT(D15:F15)=3,"Готово","Не все оценки"))</x:f>
        <x:v>Готово</x:v>
      </x:c>
    </x:row>
    <x:row r="16" ht="23" customHeight="1">
      <x:c r="A16" s="2" t="str">
        <x:v>K1</x:v>
      </x:c>
      <x:c r="B16" s="2" t="str">
        <x:v>A</x:v>
      </x:c>
      <x:c r="C16" s="2" t="str">
        <x:v>D</x:v>
      </x:c>
      <x:c r="D16" s="13" t="n">
        <x:v>4</x:v>
      </x:c>
      <x:c r="E16" s="13" t="n">
        <x:v>4</x:v>
      </x:c>
      <x:c r="F16" s="13" t="n">
        <x:v>4</x:v>
      </x:c>
      <x:c r="G16" s="15" t="n">
        <x:f>IF(ISNUMBER(D16),IF(D16=0,1,IF(D16&gt;0,D16,1/ABS(D16))),"")</x:f>
        <x:v>4</x:v>
      </x:c>
      <x:c r="H16" s="15" t="n">
        <x:f>IF(ISNUMBER(E16),IF(E16=0,1,IF(E16&gt;0,E16,1/ABS(E16))),"")</x:f>
        <x:v>4</x:v>
      </x:c>
      <x:c r="I16" s="15" t="n">
        <x:f>IF(ISNUMBER(F16),IF(F16=0,1,IF(F16&gt;0,F16,1/ABS(F16))),"")</x:f>
        <x:v>4</x:v>
      </x:c>
      <x:c r="J16" s="15" t="n">
        <x:f>IF(COUNT(G16:I16)=3,GEOMEAN(G16:I16),"")</x:f>
        <x:v>4</x:v>
      </x:c>
      <x:c r="K16" s="2" t="str">
        <x:f>IF(COUNT(D16:F16)=0,"Ожидает оценки",IF(COUNT(D16:F16)=3,"Готово","Не все оценки"))</x:f>
        <x:v>Готово</x:v>
      </x:c>
    </x:row>
    <x:row r="17" ht="23" customHeight="1">
      <x:c r="A17" s="2" t="str">
        <x:v>K1</x:v>
      </x:c>
      <x:c r="B17" s="2" t="str">
        <x:v>B</x:v>
      </x:c>
      <x:c r="C17" s="2" t="str">
        <x:v>C</x:v>
      </x:c>
      <x:c r="D17" s="13" t="n">
        <x:v>0</x:v>
      </x:c>
      <x:c r="E17" s="13" t="n">
        <x:v>-2</x:v>
      </x:c>
      <x:c r="F17" s="13" t="n">
        <x:v>-2</x:v>
      </x:c>
      <x:c r="G17" s="15" t="n">
        <x:f>IF(ISNUMBER(D17),IF(D17=0,1,IF(D17&gt;0,D17,1/ABS(D17))),"")</x:f>
        <x:v>1</x:v>
      </x:c>
      <x:c r="H17" s="15" t="n">
        <x:f>IF(ISNUMBER(E17),IF(E17=0,1,IF(E17&gt;0,E17,1/ABS(E17))),"")</x:f>
        <x:v>0.5</x:v>
      </x:c>
      <x:c r="I17" s="15" t="n">
        <x:f>IF(ISNUMBER(F17),IF(F17=0,1,IF(F17&gt;0,F17,1/ABS(F17))),"")</x:f>
        <x:v>0.5</x:v>
      </x:c>
      <x:c r="J17" s="15" t="n">
        <x:f>IF(COUNT(G17:I17)=3,GEOMEAN(G17:I17),"")</x:f>
        <x:v>0.6299605249474366</x:v>
      </x:c>
      <x:c r="K17" s="2" t="str">
        <x:f>IF(COUNT(D17:F17)=0,"Ожидает оценки",IF(COUNT(D17:F17)=3,"Готово","Не все оценки"))</x:f>
        <x:v>Готово</x:v>
      </x:c>
    </x:row>
    <x:row r="18" ht="23" customHeight="1">
      <x:c r="A18" s="2" t="str">
        <x:v>K1</x:v>
      </x:c>
      <x:c r="B18" s="2" t="str">
        <x:v>B</x:v>
      </x:c>
      <x:c r="C18" s="2" t="str">
        <x:v>D</x:v>
      </x:c>
      <x:c r="D18" s="13" t="n">
        <x:v>2</x:v>
      </x:c>
      <x:c r="E18" s="13" t="n">
        <x:v>0</x:v>
      </x:c>
      <x:c r="F18" s="13" t="n">
        <x:v>2</x:v>
      </x:c>
      <x:c r="G18" s="15" t="n">
        <x:f>IF(ISNUMBER(D18),IF(D18=0,1,IF(D18&gt;0,D18,1/ABS(D18))),"")</x:f>
        <x:v>2</x:v>
      </x:c>
      <x:c r="H18" s="15" t="n">
        <x:f>IF(ISNUMBER(E18),IF(E18=0,1,IF(E18&gt;0,E18,1/ABS(E18))),"")</x:f>
        <x:v>1</x:v>
      </x:c>
      <x:c r="I18" s="15" t="n">
        <x:f>IF(ISNUMBER(F18),IF(F18=0,1,IF(F18&gt;0,F18,1/ABS(F18))),"")</x:f>
        <x:v>2</x:v>
      </x:c>
      <x:c r="J18" s="15" t="n">
        <x:f>IF(COUNT(G18:I18)=3,GEOMEAN(G18:I18),"")</x:f>
        <x:v>1.5874010519681994</x:v>
      </x:c>
      <x:c r="K18" s="2" t="str">
        <x:f>IF(COUNT(D18:F18)=0,"Ожидает оценки",IF(COUNT(D18:F18)=3,"Готово","Не все оценки"))</x:f>
        <x:v>Готово</x:v>
      </x:c>
    </x:row>
    <x:row r="19" ht="23" customHeight="1">
      <x:c r="A19" s="2" t="str">
        <x:v>K1</x:v>
      </x:c>
      <x:c r="B19" s="2" t="str">
        <x:v>C</x:v>
      </x:c>
      <x:c r="C19" s="2" t="str">
        <x:v>D</x:v>
      </x:c>
      <x:c r="D19" s="13" t="n">
        <x:v>2</x:v>
      </x:c>
      <x:c r="E19" s="13" t="n">
        <x:v>2</x:v>
      </x:c>
      <x:c r="F19" s="13" t="n">
        <x:v>4</x:v>
      </x:c>
      <x:c r="G19" s="15" t="n">
        <x:f>IF(ISNUMBER(D19),IF(D19=0,1,IF(D19&gt;0,D19,1/ABS(D19))),"")</x:f>
        <x:v>2</x:v>
      </x:c>
      <x:c r="H19" s="15" t="n">
        <x:f>IF(ISNUMBER(E19),IF(E19=0,1,IF(E19&gt;0,E19,1/ABS(E19))),"")</x:f>
        <x:v>2</x:v>
      </x:c>
      <x:c r="I19" s="15" t="n">
        <x:f>IF(ISNUMBER(F19),IF(F19=0,1,IF(F19&gt;0,F19,1/ABS(F19))),"")</x:f>
        <x:v>4</x:v>
      </x:c>
      <x:c r="J19" s="15" t="n">
        <x:f>IF(COUNT(G19:I19)=3,GEOMEAN(G19:I19),"")</x:f>
        <x:v>2.519842099789746</x:v>
      </x:c>
      <x:c r="K19" s="2" t="str">
        <x:f>IF(COUNT(D19:F19)=0,"Ожидает оценки",IF(COUNT(D19:F19)=3,"Готово","Не все оценки"))</x:f>
        <x:v>Готово</x:v>
      </x:c>
    </x:row>
    <x:row r="20" ht="23" customHeight="1">
      <x:c r="A20" s="2" t="str">
        <x:v>K2</x:v>
      </x:c>
      <x:c r="B20" s="2" t="str">
        <x:v>A</x:v>
      </x:c>
      <x:c r="C20" s="2" t="str">
        <x:v>B</x:v>
      </x:c>
      <x:c r="D20" s="13" t="n">
        <x:v>-2</x:v>
      </x:c>
      <x:c r="E20" s="13" t="n">
        <x:v>-2</x:v>
      </x:c>
      <x:c r="F20" s="13" t="n">
        <x:v>-2</x:v>
      </x:c>
      <x:c r="G20" s="15" t="n">
        <x:f>IF(ISNUMBER(D20),IF(D20=0,1,IF(D20&gt;0,D20,1/ABS(D20))),"")</x:f>
        <x:v>0.5</x:v>
      </x:c>
      <x:c r="H20" s="15" t="n">
        <x:f>IF(ISNUMBER(E20),IF(E20=0,1,IF(E20&gt;0,E20,1/ABS(E20))),"")</x:f>
        <x:v>0.5</x:v>
      </x:c>
      <x:c r="I20" s="15" t="n">
        <x:f>IF(ISNUMBER(F20),IF(F20=0,1,IF(F20&gt;0,F20,1/ABS(F20))),"")</x:f>
        <x:v>0.5</x:v>
      </x:c>
      <x:c r="J20" s="15" t="n">
        <x:f>IF(COUNT(G20:I20)=3,GEOMEAN(G20:I20),"")</x:f>
        <x:v>0.5</x:v>
      </x:c>
      <x:c r="K20" s="2" t="str">
        <x:f>IF(COUNT(D20:F20)=0,"Ожидает оценки",IF(COUNT(D20:F20)=3,"Готово","Не все оценки"))</x:f>
        <x:v>Готово</x:v>
      </x:c>
    </x:row>
    <x:row r="21" ht="23" customHeight="1">
      <x:c r="A21" s="2" t="str">
        <x:v>K2</x:v>
      </x:c>
      <x:c r="B21" s="2" t="str">
        <x:v>A</x:v>
      </x:c>
      <x:c r="C21" s="2" t="str">
        <x:v>C</x:v>
      </x:c>
      <x:c r="D21" s="13" t="n">
        <x:v>2</x:v>
      </x:c>
      <x:c r="E21" s="13" t="n">
        <x:v>2</x:v>
      </x:c>
      <x:c r="F21" s="13" t="n">
        <x:v>2</x:v>
      </x:c>
      <x:c r="G21" s="15" t="n">
        <x:f>IF(ISNUMBER(D21),IF(D21=0,1,IF(D21&gt;0,D21,1/ABS(D21))),"")</x:f>
        <x:v>2</x:v>
      </x:c>
      <x:c r="H21" s="15" t="n">
        <x:f>IF(ISNUMBER(E21),IF(E21=0,1,IF(E21&gt;0,E21,1/ABS(E21))),"")</x:f>
        <x:v>2</x:v>
      </x:c>
      <x:c r="I21" s="15" t="n">
        <x:f>IF(ISNUMBER(F21),IF(F21=0,1,IF(F21&gt;0,F21,1/ABS(F21))),"")</x:f>
        <x:v>2</x:v>
      </x:c>
      <x:c r="J21" s="15" t="n">
        <x:f>IF(COUNT(G21:I21)=3,GEOMEAN(G21:I21),"")</x:f>
        <x:v>2</x:v>
      </x:c>
      <x:c r="K21" s="2" t="str">
        <x:f>IF(COUNT(D21:F21)=0,"Ожидает оценки",IF(COUNT(D21:F21)=3,"Готово","Не все оценки"))</x:f>
        <x:v>Готово</x:v>
      </x:c>
    </x:row>
    <x:row r="22" ht="23" customHeight="1">
      <x:c r="A22" s="2" t="str">
        <x:v>K2</x:v>
      </x:c>
      <x:c r="B22" s="2" t="str">
        <x:v>A</x:v>
      </x:c>
      <x:c r="C22" s="2" t="str">
        <x:v>D</x:v>
      </x:c>
      <x:c r="D22" s="13" t="n">
        <x:v>-2</x:v>
      </x:c>
      <x:c r="E22" s="13" t="n">
        <x:v>0</x:v>
      </x:c>
      <x:c r="F22" s="13" t="n">
        <x:v>-2</x:v>
      </x:c>
      <x:c r="G22" s="15" t="n">
        <x:f>IF(ISNUMBER(D22),IF(D22=0,1,IF(D22&gt;0,D22,1/ABS(D22))),"")</x:f>
        <x:v>0.5</x:v>
      </x:c>
      <x:c r="H22" s="15" t="n">
        <x:f>IF(ISNUMBER(E22),IF(E22=0,1,IF(E22&gt;0,E22,1/ABS(E22))),"")</x:f>
        <x:v>1</x:v>
      </x:c>
      <x:c r="I22" s="15" t="n">
        <x:f>IF(ISNUMBER(F22),IF(F22=0,1,IF(F22&gt;0,F22,1/ABS(F22))),"")</x:f>
        <x:v>0.5</x:v>
      </x:c>
      <x:c r="J22" s="15" t="n">
        <x:f>IF(COUNT(G22:I22)=3,GEOMEAN(G22:I22),"")</x:f>
        <x:v>0.6299605249474366</x:v>
      </x:c>
      <x:c r="K22" s="2" t="str">
        <x:f>IF(COUNT(D22:F22)=0,"Ожидает оценки",IF(COUNT(D22:F22)=3,"Готово","Не все оценки"))</x:f>
        <x:v>Готово</x:v>
      </x:c>
    </x:row>
    <x:row r="23" ht="23" customHeight="1">
      <x:c r="A23" s="2" t="str">
        <x:v>K2</x:v>
      </x:c>
      <x:c r="B23" s="2" t="str">
        <x:v>B</x:v>
      </x:c>
      <x:c r="C23" s="2" t="str">
        <x:v>C</x:v>
      </x:c>
      <x:c r="D23" s="13" t="n">
        <x:v>4</x:v>
      </x:c>
      <x:c r="E23" s="13" t="n">
        <x:v>4</x:v>
      </x:c>
      <x:c r="F23" s="13" t="n">
        <x:v>4</x:v>
      </x:c>
      <x:c r="G23" s="15" t="n">
        <x:f>IF(ISNUMBER(D23),IF(D23=0,1,IF(D23&gt;0,D23,1/ABS(D23))),"")</x:f>
        <x:v>4</x:v>
      </x:c>
      <x:c r="H23" s="15" t="n">
        <x:f>IF(ISNUMBER(E23),IF(E23=0,1,IF(E23&gt;0,E23,1/ABS(E23))),"")</x:f>
        <x:v>4</x:v>
      </x:c>
      <x:c r="I23" s="15" t="n">
        <x:f>IF(ISNUMBER(F23),IF(F23=0,1,IF(F23&gt;0,F23,1/ABS(F23))),"")</x:f>
        <x:v>4</x:v>
      </x:c>
      <x:c r="J23" s="15" t="n">
        <x:f>IF(COUNT(G23:I23)=3,GEOMEAN(G23:I23),"")</x:f>
        <x:v>4</x:v>
      </x:c>
      <x:c r="K23" s="2" t="str">
        <x:f>IF(COUNT(D23:F23)=0,"Ожидает оценки",IF(COUNT(D23:F23)=3,"Готово","Не все оценки"))</x:f>
        <x:v>Готово</x:v>
      </x:c>
    </x:row>
    <x:row r="24" ht="23" customHeight="1">
      <x:c r="A24" s="2" t="str">
        <x:v>K2</x:v>
      </x:c>
      <x:c r="B24" s="2" t="str">
        <x:v>B</x:v>
      </x:c>
      <x:c r="C24" s="2" t="str">
        <x:v>D</x:v>
      </x:c>
      <x:c r="D24" s="13" t="n">
        <x:v>0</x:v>
      </x:c>
      <x:c r="E24" s="13" t="n">
        <x:v>3</x:v>
      </x:c>
      <x:c r="F24" s="13" t="n">
        <x:v>0</x:v>
      </x:c>
      <x:c r="G24" s="15" t="n">
        <x:f>IF(ISNUMBER(D24),IF(D24=0,1,IF(D24&gt;0,D24,1/ABS(D24))),"")</x:f>
        <x:v>1</x:v>
      </x:c>
      <x:c r="H24" s="15" t="n">
        <x:f>IF(ISNUMBER(E24),IF(E24=0,1,IF(E24&gt;0,E24,1/ABS(E24))),"")</x:f>
        <x:v>3</x:v>
      </x:c>
      <x:c r="I24" s="15" t="n">
        <x:f>IF(ISNUMBER(F24),IF(F24=0,1,IF(F24&gt;0,F24,1/ABS(F24))),"")</x:f>
        <x:v>1</x:v>
      </x:c>
      <x:c r="J24" s="15" t="n">
        <x:f>IF(COUNT(G24:I24)=3,GEOMEAN(G24:I24),"")</x:f>
        <x:v>1.4422495703074083</x:v>
      </x:c>
      <x:c r="K24" s="2" t="str">
        <x:f>IF(COUNT(D24:F24)=0,"Ожидает оценки",IF(COUNT(D24:F24)=3,"Готово","Не все оценки"))</x:f>
        <x:v>Готово</x:v>
      </x:c>
    </x:row>
    <x:row r="25" ht="23" customHeight="1">
      <x:c r="A25" s="2" t="str">
        <x:v>K2</x:v>
      </x:c>
      <x:c r="B25" s="2" t="str">
        <x:v>C</x:v>
      </x:c>
      <x:c r="C25" s="2" t="str">
        <x:v>D</x:v>
      </x:c>
      <x:c r="D25" s="13" t="n">
        <x:v>-4</x:v>
      </x:c>
      <x:c r="E25" s="13" t="n">
        <x:v>-2</x:v>
      </x:c>
      <x:c r="F25" s="13" t="n">
        <x:v>-4</x:v>
      </x:c>
      <x:c r="G25" s="15" t="n">
        <x:f>IF(ISNUMBER(D25),IF(D25=0,1,IF(D25&gt;0,D25,1/ABS(D25))),"")</x:f>
        <x:v>0.25</x:v>
      </x:c>
      <x:c r="H25" s="15" t="n">
        <x:f>IF(ISNUMBER(E25),IF(E25=0,1,IF(E25&gt;0,E25,1/ABS(E25))),"")</x:f>
        <x:v>0.5</x:v>
      </x:c>
      <x:c r="I25" s="15" t="n">
        <x:f>IF(ISNUMBER(F25),IF(F25=0,1,IF(F25&gt;0,F25,1/ABS(F25))),"")</x:f>
        <x:v>0.25</x:v>
      </x:c>
      <x:c r="J25" s="15" t="n">
        <x:f>IF(COUNT(G25:I25)=3,GEOMEAN(G25:I25),"")</x:f>
        <x:v>0.31498026247371835</x:v>
      </x:c>
      <x:c r="K25" s="2" t="str">
        <x:f>IF(COUNT(D25:F25)=0,"Ожидает оценки",IF(COUNT(D25:F25)=3,"Готово","Не все оценки"))</x:f>
        <x:v>Готово</x:v>
      </x:c>
    </x:row>
    <x:row r="26" ht="23" customHeight="1">
      <x:c r="A26" s="2" t="str">
        <x:v>K3</x:v>
      </x:c>
      <x:c r="B26" s="2" t="str">
        <x:v>A</x:v>
      </x:c>
      <x:c r="C26" s="2" t="str">
        <x:v>B</x:v>
      </x:c>
      <x:c r="D26" s="13" t="n">
        <x:v>2</x:v>
      </x:c>
      <x:c r="E26" s="13" t="n">
        <x:v>2</x:v>
      </x:c>
      <x:c r="F26" s="13" t="n">
        <x:v>2</x:v>
      </x:c>
      <x:c r="G26" s="15" t="n">
        <x:f>IF(ISNUMBER(D26),IF(D26=0,1,IF(D26&gt;0,D26,1/ABS(D26))),"")</x:f>
        <x:v>2</x:v>
      </x:c>
      <x:c r="H26" s="15" t="n">
        <x:f>IF(ISNUMBER(E26),IF(E26=0,1,IF(E26&gt;0,E26,1/ABS(E26))),"")</x:f>
        <x:v>2</x:v>
      </x:c>
      <x:c r="I26" s="15" t="n">
        <x:f>IF(ISNUMBER(F26),IF(F26=0,1,IF(F26&gt;0,F26,1/ABS(F26))),"")</x:f>
        <x:v>2</x:v>
      </x:c>
      <x:c r="J26" s="15" t="n">
        <x:f>IF(COUNT(G26:I26)=3,GEOMEAN(G26:I26),"")</x:f>
        <x:v>2</x:v>
      </x:c>
      <x:c r="K26" s="2" t="str">
        <x:f>IF(COUNT(D26:F26)=0,"Ожидает оценки",IF(COUNT(D26:F26)=3,"Готово","Не все оценки"))</x:f>
        <x:v>Готово</x:v>
      </x:c>
    </x:row>
    <x:row r="27" ht="23" customHeight="1">
      <x:c r="A27" s="2" t="str">
        <x:v>K3</x:v>
      </x:c>
      <x:c r="B27" s="2" t="str">
        <x:v>A</x:v>
      </x:c>
      <x:c r="C27" s="2" t="str">
        <x:v>C</x:v>
      </x:c>
      <x:c r="D27" s="13" t="n">
        <x:v>4</x:v>
      </x:c>
      <x:c r="E27" s="13" t="n">
        <x:v>2</x:v>
      </x:c>
      <x:c r="F27" s="13" t="n">
        <x:v>4</x:v>
      </x:c>
      <x:c r="G27" s="15" t="n">
        <x:f>IF(ISNUMBER(D27),IF(D27=0,1,IF(D27&gt;0,D27,1/ABS(D27))),"")</x:f>
        <x:v>4</x:v>
      </x:c>
      <x:c r="H27" s="15" t="n">
        <x:f>IF(ISNUMBER(E27),IF(E27=0,1,IF(E27&gt;0,E27,1/ABS(E27))),"")</x:f>
        <x:v>2</x:v>
      </x:c>
      <x:c r="I27" s="15" t="n">
        <x:f>IF(ISNUMBER(F27),IF(F27=0,1,IF(F27&gt;0,F27,1/ABS(F27))),"")</x:f>
        <x:v>4</x:v>
      </x:c>
      <x:c r="J27" s="15" t="n">
        <x:f>IF(COUNT(G27:I27)=3,GEOMEAN(G27:I27),"")</x:f>
        <x:v>3.1748021039363983</x:v>
      </x:c>
      <x:c r="K27" s="2" t="str">
        <x:f>IF(COUNT(D27:F27)=0,"Ожидает оценки",IF(COUNT(D27:F27)=3,"Готово","Не все оценки"))</x:f>
        <x:v>Готово</x:v>
      </x:c>
    </x:row>
    <x:row r="28" ht="23" customHeight="1">
      <x:c r="A28" s="2" t="str">
        <x:v>K3</x:v>
      </x:c>
      <x:c r="B28" s="2" t="str">
        <x:v>A</x:v>
      </x:c>
      <x:c r="C28" s="2" t="str">
        <x:v>D</x:v>
      </x:c>
      <x:c r="D28" s="13" t="n">
        <x:v>2</x:v>
      </x:c>
      <x:c r="E28" s="13" t="n">
        <x:v>2</x:v>
      </x:c>
      <x:c r="F28" s="13" t="n">
        <x:v>2</x:v>
      </x:c>
      <x:c r="G28" s="15" t="n">
        <x:f>IF(ISNUMBER(D28),IF(D28=0,1,IF(D28&gt;0,D28,1/ABS(D28))),"")</x:f>
        <x:v>2</x:v>
      </x:c>
      <x:c r="H28" s="15" t="n">
        <x:f>IF(ISNUMBER(E28),IF(E28=0,1,IF(E28&gt;0,E28,1/ABS(E28))),"")</x:f>
        <x:v>2</x:v>
      </x:c>
      <x:c r="I28" s="15" t="n">
        <x:f>IF(ISNUMBER(F28),IF(F28=0,1,IF(F28&gt;0,F28,1/ABS(F28))),"")</x:f>
        <x:v>2</x:v>
      </x:c>
      <x:c r="J28" s="15" t="n">
        <x:f>IF(COUNT(G28:I28)=3,GEOMEAN(G28:I28),"")</x:f>
        <x:v>2</x:v>
      </x:c>
      <x:c r="K28" s="2" t="str">
        <x:f>IF(COUNT(D28:F28)=0,"Ожидает оценки",IF(COUNT(D28:F28)=3,"Готово","Не все оценки"))</x:f>
        <x:v>Готово</x:v>
      </x:c>
    </x:row>
    <x:row r="29" ht="23" customHeight="1">
      <x:c r="A29" s="2" t="str">
        <x:v>K3</x:v>
      </x:c>
      <x:c r="B29" s="2" t="str">
        <x:v>B</x:v>
      </x:c>
      <x:c r="C29" s="2" t="str">
        <x:v>C</x:v>
      </x:c>
      <x:c r="D29" s="13" t="n">
        <x:v>2</x:v>
      </x:c>
      <x:c r="E29" s="13" t="n">
        <x:v>0</x:v>
      </x:c>
      <x:c r="F29" s="13" t="n">
        <x:v>4</x:v>
      </x:c>
      <x:c r="G29" s="15" t="n">
        <x:f>IF(ISNUMBER(D29),IF(D29=0,1,IF(D29&gt;0,D29,1/ABS(D29))),"")</x:f>
        <x:v>2</x:v>
      </x:c>
      <x:c r="H29" s="15" t="n">
        <x:f>IF(ISNUMBER(E29),IF(E29=0,1,IF(E29&gt;0,E29,1/ABS(E29))),"")</x:f>
        <x:v>1</x:v>
      </x:c>
      <x:c r="I29" s="15" t="n">
        <x:f>IF(ISNUMBER(F29),IF(F29=0,1,IF(F29&gt;0,F29,1/ABS(F29))),"")</x:f>
        <x:v>4</x:v>
      </x:c>
      <x:c r="J29" s="15" t="n">
        <x:f>IF(COUNT(G29:I29)=3,GEOMEAN(G29:I29),"")</x:f>
        <x:v>2</x:v>
      </x:c>
      <x:c r="K29" s="2" t="str">
        <x:f>IF(COUNT(D29:F29)=0,"Ожидает оценки",IF(COUNT(D29:F29)=3,"Готово","Не все оценки"))</x:f>
        <x:v>Готово</x:v>
      </x:c>
    </x:row>
    <x:row r="30" ht="23" customHeight="1">
      <x:c r="A30" s="2" t="str">
        <x:v>K3</x:v>
      </x:c>
      <x:c r="B30" s="2" t="str">
        <x:v>B</x:v>
      </x:c>
      <x:c r="C30" s="2" t="str">
        <x:v>D</x:v>
      </x:c>
      <x:c r="D30" s="13" t="n">
        <x:v>0</x:v>
      </x:c>
      <x:c r="E30" s="13" t="n">
        <x:v>0</x:v>
      </x:c>
      <x:c r="F30" s="13" t="n">
        <x:v>2</x:v>
      </x:c>
      <x:c r="G30" s="15" t="n">
        <x:f>IF(ISNUMBER(D30),IF(D30=0,1,IF(D30&gt;0,D30,1/ABS(D30))),"")</x:f>
        <x:v>1</x:v>
      </x:c>
      <x:c r="H30" s="15" t="n">
        <x:f>IF(ISNUMBER(E30),IF(E30=0,1,IF(E30&gt;0,E30,1/ABS(E30))),"")</x:f>
        <x:v>1</x:v>
      </x:c>
      <x:c r="I30" s="15" t="n">
        <x:f>IF(ISNUMBER(F30),IF(F30=0,1,IF(F30&gt;0,F30,1/ABS(F30))),"")</x:f>
        <x:v>2</x:v>
      </x:c>
      <x:c r="J30" s="15" t="n">
        <x:f>IF(COUNT(G30:I30)=3,GEOMEAN(G30:I30),"")</x:f>
        <x:v>1.2599210498948732</x:v>
      </x:c>
      <x:c r="K30" s="2" t="str">
        <x:f>IF(COUNT(D30:F30)=0,"Ожидает оценки",IF(COUNT(D30:F30)=3,"Готово","Не все оценки"))</x:f>
        <x:v>Готово</x:v>
      </x:c>
    </x:row>
    <x:row r="31" ht="23" customHeight="1">
      <x:c r="A31" s="2" t="str">
        <x:v>K3</x:v>
      </x:c>
      <x:c r="B31" s="2" t="str">
        <x:v>C</x:v>
      </x:c>
      <x:c r="C31" s="2" t="str">
        <x:v>D</x:v>
      </x:c>
      <x:c r="D31" s="13" t="n">
        <x:v>-2</x:v>
      </x:c>
      <x:c r="E31" s="13" t="n">
        <x:v>0</x:v>
      </x:c>
      <x:c r="F31" s="13" t="n">
        <x:v>-2</x:v>
      </x:c>
      <x:c r="G31" s="15" t="n">
        <x:f>IF(ISNUMBER(D31),IF(D31=0,1,IF(D31&gt;0,D31,1/ABS(D31))),"")</x:f>
        <x:v>0.5</x:v>
      </x:c>
      <x:c r="H31" s="15" t="n">
        <x:f>IF(ISNUMBER(E31),IF(E31=0,1,IF(E31&gt;0,E31,1/ABS(E31))),"")</x:f>
        <x:v>1</x:v>
      </x:c>
      <x:c r="I31" s="15" t="n">
        <x:f>IF(ISNUMBER(F31),IF(F31=0,1,IF(F31&gt;0,F31,1/ABS(F31))),"")</x:f>
        <x:v>0.5</x:v>
      </x:c>
      <x:c r="J31" s="15" t="n">
        <x:f>IF(COUNT(G31:I31)=3,GEOMEAN(G31:I31),"")</x:f>
        <x:v>0.6299605249474366</x:v>
      </x:c>
      <x:c r="K31" s="2" t="str">
        <x:f>IF(COUNT(D31:F31)=0,"Ожидает оценки",IF(COUNT(D31:F31)=3,"Готово","Не все оценки"))</x:f>
        <x:v>Готово</x:v>
      </x:c>
    </x:row>
    <x:row r="32" ht="23" customHeight="1">
      <x:c r="A32" s="2" t="str">
        <x:v>K4</x:v>
      </x:c>
      <x:c r="B32" s="2" t="str">
        <x:v>A</x:v>
      </x:c>
      <x:c r="C32" s="2" t="str">
        <x:v>B</x:v>
      </x:c>
      <x:c r="D32" s="13" t="n">
        <x:v>2</x:v>
      </x:c>
      <x:c r="E32" s="13" t="n">
        <x:v>2</x:v>
      </x:c>
      <x:c r="F32" s="13" t="n">
        <x:v>0</x:v>
      </x:c>
      <x:c r="G32" s="15" t="n">
        <x:f>IF(ISNUMBER(D32),IF(D32=0,1,IF(D32&gt;0,D32,1/ABS(D32))),"")</x:f>
        <x:v>2</x:v>
      </x:c>
      <x:c r="H32" s="15" t="n">
        <x:f>IF(ISNUMBER(E32),IF(E32=0,1,IF(E32&gt;0,E32,1/ABS(E32))),"")</x:f>
        <x:v>2</x:v>
      </x:c>
      <x:c r="I32" s="15" t="n">
        <x:f>IF(ISNUMBER(F32),IF(F32=0,1,IF(F32&gt;0,F32,1/ABS(F32))),"")</x:f>
        <x:v>1</x:v>
      </x:c>
      <x:c r="J32" s="15" t="n">
        <x:f>IF(COUNT(G32:I32)=3,GEOMEAN(G32:I32),"")</x:f>
        <x:v>1.5874010519681994</x:v>
      </x:c>
      <x:c r="K32" s="2" t="str">
        <x:f>IF(COUNT(D32:F32)=0,"Ожидает оценки",IF(COUNT(D32:F32)=3,"Готово","Не все оценки"))</x:f>
        <x:v>Готово</x:v>
      </x:c>
    </x:row>
    <x:row r="33" ht="23" customHeight="1">
      <x:c r="A33" s="2" t="str">
        <x:v>K4</x:v>
      </x:c>
      <x:c r="B33" s="2" t="str">
        <x:v>A</x:v>
      </x:c>
      <x:c r="C33" s="2" t="str">
        <x:v>C</x:v>
      </x:c>
      <x:c r="D33" s="13" t="n">
        <x:v>4</x:v>
      </x:c>
      <x:c r="E33" s="13" t="n">
        <x:v>2</x:v>
      </x:c>
      <x:c r="F33" s="13" t="n">
        <x:v>4</x:v>
      </x:c>
      <x:c r="G33" s="15" t="n">
        <x:f>IF(ISNUMBER(D33),IF(D33=0,1,IF(D33&gt;0,D33,1/ABS(D33))),"")</x:f>
        <x:v>4</x:v>
      </x:c>
      <x:c r="H33" s="15" t="n">
        <x:f>IF(ISNUMBER(E33),IF(E33=0,1,IF(E33&gt;0,E33,1/ABS(E33))),"")</x:f>
        <x:v>2</x:v>
      </x:c>
      <x:c r="I33" s="15" t="n">
        <x:f>IF(ISNUMBER(F33),IF(F33=0,1,IF(F33&gt;0,F33,1/ABS(F33))),"")</x:f>
        <x:v>4</x:v>
      </x:c>
      <x:c r="J33" s="15" t="n">
        <x:f>IF(COUNT(G33:I33)=3,GEOMEAN(G33:I33),"")</x:f>
        <x:v>3.1748021039363983</x:v>
      </x:c>
      <x:c r="K33" s="2" t="str">
        <x:f>IF(COUNT(D33:F33)=0,"Ожидает оценки",IF(COUNT(D33:F33)=3,"Готово","Не все оценки"))</x:f>
        <x:v>Готово</x:v>
      </x:c>
    </x:row>
    <x:row r="34" ht="23" customHeight="1">
      <x:c r="A34" s="2" t="str">
        <x:v>K4</x:v>
      </x:c>
      <x:c r="B34" s="2" t="str">
        <x:v>A</x:v>
      </x:c>
      <x:c r="C34" s="2" t="str">
        <x:v>D</x:v>
      </x:c>
      <x:c r="D34" s="13" t="n">
        <x:v>4</x:v>
      </x:c>
      <x:c r="E34" s="13" t="n">
        <x:v>4</x:v>
      </x:c>
      <x:c r="F34" s="13" t="n">
        <x:v>2</x:v>
      </x:c>
      <x:c r="G34" s="15" t="n">
        <x:f>IF(ISNUMBER(D34),IF(D34=0,1,IF(D34&gt;0,D34,1/ABS(D34))),"")</x:f>
        <x:v>4</x:v>
      </x:c>
      <x:c r="H34" s="15" t="n">
        <x:f>IF(ISNUMBER(E34),IF(E34=0,1,IF(E34&gt;0,E34,1/ABS(E34))),"")</x:f>
        <x:v>4</x:v>
      </x:c>
      <x:c r="I34" s="15" t="n">
        <x:f>IF(ISNUMBER(F34),IF(F34=0,1,IF(F34&gt;0,F34,1/ABS(F34))),"")</x:f>
        <x:v>2</x:v>
      </x:c>
      <x:c r="J34" s="15" t="n">
        <x:f>IF(COUNT(G34:I34)=3,GEOMEAN(G34:I34),"")</x:f>
        <x:v>3.1748021039363983</x:v>
      </x:c>
      <x:c r="K34" s="2" t="str">
        <x:f>IF(COUNT(D34:F34)=0,"Ожидает оценки",IF(COUNT(D34:F34)=3,"Готово","Не все оценки"))</x:f>
        <x:v>Готово</x:v>
      </x:c>
    </x:row>
    <x:row r="35" ht="23" customHeight="1">
      <x:c r="A35" s="2" t="str">
        <x:v>K4</x:v>
      </x:c>
      <x:c r="B35" s="2" t="str">
        <x:v>B</x:v>
      </x:c>
      <x:c r="C35" s="2" t="str">
        <x:v>C</x:v>
      </x:c>
      <x:c r="D35" s="13" t="n">
        <x:v>2</x:v>
      </x:c>
      <x:c r="E35" s="13" t="n">
        <x:v>0</x:v>
      </x:c>
      <x:c r="F35" s="13" t="n">
        <x:v>4</x:v>
      </x:c>
      <x:c r="G35" s="15" t="n">
        <x:f>IF(ISNUMBER(D35),IF(D35=0,1,IF(D35&gt;0,D35,1/ABS(D35))),"")</x:f>
        <x:v>2</x:v>
      </x:c>
      <x:c r="H35" s="15" t="n">
        <x:f>IF(ISNUMBER(E35),IF(E35=0,1,IF(E35&gt;0,E35,1/ABS(E35))),"")</x:f>
        <x:v>1</x:v>
      </x:c>
      <x:c r="I35" s="15" t="n">
        <x:f>IF(ISNUMBER(F35),IF(F35=0,1,IF(F35&gt;0,F35,1/ABS(F35))),"")</x:f>
        <x:v>4</x:v>
      </x:c>
      <x:c r="J35" s="15" t="n">
        <x:f>IF(COUNT(G35:I35)=3,GEOMEAN(G35:I35),"")</x:f>
        <x:v>2</x:v>
      </x:c>
      <x:c r="K35" s="2" t="str">
        <x:f>IF(COUNT(D35:F35)=0,"Ожидает оценки",IF(COUNT(D35:F35)=3,"Готово","Не все оценки"))</x:f>
        <x:v>Готово</x:v>
      </x:c>
    </x:row>
    <x:row r="36" ht="23" customHeight="1">
      <x:c r="A36" s="2" t="str">
        <x:v>K4</x:v>
      </x:c>
      <x:c r="B36" s="2" t="str">
        <x:v>B</x:v>
      </x:c>
      <x:c r="C36" s="2" t="str">
        <x:v>D</x:v>
      </x:c>
      <x:c r="D36" s="13" t="n">
        <x:v>2</x:v>
      </x:c>
      <x:c r="E36" s="13" t="n">
        <x:v>2</x:v>
      </x:c>
      <x:c r="F36" s="13" t="n">
        <x:v>2</x:v>
      </x:c>
      <x:c r="G36" s="15" t="n">
        <x:f>IF(ISNUMBER(D36),IF(D36=0,1,IF(D36&gt;0,D36,1/ABS(D36))),"")</x:f>
        <x:v>2</x:v>
      </x:c>
      <x:c r="H36" s="15" t="n">
        <x:f>IF(ISNUMBER(E36),IF(E36=0,1,IF(E36&gt;0,E36,1/ABS(E36))),"")</x:f>
        <x:v>2</x:v>
      </x:c>
      <x:c r="I36" s="15" t="n">
        <x:f>IF(ISNUMBER(F36),IF(F36=0,1,IF(F36&gt;0,F36,1/ABS(F36))),"")</x:f>
        <x:v>2</x:v>
      </x:c>
      <x:c r="J36" s="15" t="n">
        <x:f>IF(COUNT(G36:I36)=3,GEOMEAN(G36:I36),"")</x:f>
        <x:v>2</x:v>
      </x:c>
      <x:c r="K36" s="2" t="str">
        <x:f>IF(COUNT(D36:F36)=0,"Ожидает оценки",IF(COUNT(D36:F36)=3,"Готово","Не все оценки"))</x:f>
        <x:v>Готово</x:v>
      </x:c>
    </x:row>
    <x:row r="37" ht="23" customHeight="1">
      <x:c r="A37" s="2" t="str">
        <x:v>K4</x:v>
      </x:c>
      <x:c r="B37" s="2" t="str">
        <x:v>C</x:v>
      </x:c>
      <x:c r="C37" s="2" t="str">
        <x:v>D</x:v>
      </x:c>
      <x:c r="D37" s="13" t="n">
        <x:v>0</x:v>
      </x:c>
      <x:c r="E37" s="13" t="n">
        <x:v>3</x:v>
      </x:c>
      <x:c r="F37" s="13" t="n">
        <x:v>-2</x:v>
      </x:c>
      <x:c r="G37" s="15" t="n">
        <x:f>IF(ISNUMBER(D37),IF(D37=0,1,IF(D37&gt;0,D37,1/ABS(D37))),"")</x:f>
        <x:v>1</x:v>
      </x:c>
      <x:c r="H37" s="15" t="n">
        <x:f>IF(ISNUMBER(E37),IF(E37=0,1,IF(E37&gt;0,E37,1/ABS(E37))),"")</x:f>
        <x:v>3</x:v>
      </x:c>
      <x:c r="I37" s="15" t="n">
        <x:f>IF(ISNUMBER(F37),IF(F37=0,1,IF(F37&gt;0,F37,1/ABS(F37))),"")</x:f>
        <x:v>0.5</x:v>
      </x:c>
      <x:c r="J37" s="15" t="n">
        <x:f>IF(COUNT(G37:I37)=3,GEOMEAN(G37:I37),"")</x:f>
        <x:v>1.1447142425533319</x:v>
      </x:c>
      <x:c r="K37" s="2" t="str">
        <x:f>IF(COUNT(D37:F37)=0,"Ожидает оценки",IF(COUNT(D37:F37)=3,"Готово","Не все оценки"))</x:f>
        <x:v>Готово</x:v>
      </x:c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</x:sheetData>
  <x:dataValidations count="1">
    <x:dataValidation type="whole" operator="between" sqref="D8:F37">
      <x:formula1>-9</x:formula1>
      <x:formula2>9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54" hidden="0" customWidth="1"/>
    <x:col min="3" max="3" width="11" hidden="0" customWidth="1"/>
    <x:col min="4" max="4" width="11" hidden="0" customWidth="1"/>
    <x:col min="5" max="5" width="11" hidden="0" customWidth="1"/>
    <x:col min="6" max="6" width="17" hidden="0" customWidth="1"/>
    <x:col min="7" max="7" width="17" hidden="0" customWidth="1"/>
    <x:col min="8" max="8" width="20" hidden="0" customWidth="1"/>
    <x:col min="9" max="9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3" t="str">
        <x:v>Работы первого этапа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30" customHeight="1">
      <x:c r="A4" s="11" t="str">
        <x:v>RACI команды. Время по 9 работам восстановлено по недельным итогам; даты в F/G обозначают границы недели, не точные даты действия.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2" customHeight="1">
      <x:c r="A6" s="7" t="str">
        <x:v>№</x:v>
      </x:c>
      <x:c r="B6" s="7" t="str">
        <x:v>Задача</x:v>
      </x:c>
      <x:c r="C6" s="7" t="str">
        <x:v>Мартин</x:v>
      </x:c>
      <x:c r="D6" s="7" t="str">
        <x:v>Никита</x:v>
      </x:c>
      <x:c r="E6" s="7" t="str">
        <x:v>Акнур</x:v>
      </x:c>
      <x:c r="F6" s="7" t="str">
        <x:v>Начало</x:v>
      </x:c>
      <x:c r="G6" s="7" t="str">
        <x:v>Окончание</x:v>
      </x:c>
      <x:c r="H6" s="7" t="str">
        <x:v>Чистое время, ч</x:v>
      </x:c>
      <x:c r="I6" s="7" t="str">
        <x:v>Примечание</x:v>
      </x:c>
    </x:row>
    <x:row r="7" ht="32" customHeight="1">
      <x:c r="A7" s="2" t="n">
        <x:v>1</x:v>
      </x:c>
      <x:c r="B7" s="8" t="str">
        <x:v>Уточнить концепции и критерии</x:v>
      </x:c>
      <x:c r="C7" s="18" t="str">
        <x:v>R/A</x:v>
      </x:c>
      <x:c r="D7" s="18" t="str">
        <x:v>C</x:v>
      </x:c>
      <x:c r="E7" s="18" t="str">
        <x:v>C</x:v>
      </x:c>
      <x:c r="F7" s="16" t="str">
        <x:v>2026-09-10</x:v>
      </x:c>
      <x:c r="G7" s="16" t="str">
        <x:v>2026-09-16</x:v>
      </x:c>
      <x:c r="H7" s="17" t="n">
        <x:v>5</x:v>
      </x:c>
      <x:c r="I7" s="12" t="str">
        <x:v>Восстановлено по памяти; границы недели</x:v>
      </x:c>
    </x:row>
    <x:row r="8" ht="32" customHeight="1">
      <x:c r="A8" s="2" t="n">
        <x:v>2</x:v>
      </x:c>
      <x:c r="B8" s="8" t="str">
        <x:v>Провести независимые оценки TOPSIS</x:v>
      </x:c>
      <x:c r="C8" s="18" t="str">
        <x:v>R/A</x:v>
      </x:c>
      <x:c r="D8" s="18" t="str">
        <x:v>R</x:v>
      </x:c>
      <x:c r="E8" s="18" t="str">
        <x:v>R</x:v>
      </x:c>
      <x:c r="F8" s="16" t="str">
        <x:v>2026-09-10</x:v>
      </x:c>
      <x:c r="G8" s="16" t="str">
        <x:v>2026-09-16</x:v>
      </x:c>
      <x:c r="H8" s="17" t="n">
        <x:v>4</x:v>
      </x:c>
      <x:c r="I8" s="12" t="str">
        <x:v>Восстановлено по памяти; границы недели</x:v>
      </x:c>
    </x:row>
    <x:row r="9" ht="32" customHeight="1">
      <x:c r="A9" s="2" t="n">
        <x:v>3</x:v>
      </x:c>
      <x:c r="B9" s="8" t="str">
        <x:v>Провести парные сравнения МАИ</x:v>
      </x:c>
      <x:c r="C9" s="18" t="str">
        <x:v>R</x:v>
      </x:c>
      <x:c r="D9" s="18" t="str">
        <x:v>R/A</x:v>
      </x:c>
      <x:c r="E9" s="18" t="str">
        <x:v>R</x:v>
      </x:c>
      <x:c r="F9" s="16" t="str">
        <x:v>2026-09-10</x:v>
      </x:c>
      <x:c r="G9" s="16" t="str">
        <x:v>2026-09-16</x:v>
      </x:c>
      <x:c r="H9" s="17" t="n">
        <x:v>5</x:v>
      </x:c>
      <x:c r="I9" s="12" t="str">
        <x:v>Восстановлено по памяти; границы недели</x:v>
      </x:c>
    </x:row>
    <x:row r="10" ht="32" customHeight="1">
      <x:c r="A10" s="2" t="n">
        <x:v>4</x:v>
      </x:c>
      <x:c r="B10" s="8" t="str">
        <x:v>Проверить полноту и согласованность оценок</x:v>
      </x:c>
      <x:c r="C10" s="18" t="str">
        <x:v>A</x:v>
      </x:c>
      <x:c r="D10" s="18" t="str">
        <x:v>R</x:v>
      </x:c>
      <x:c r="E10" s="18" t="str">
        <x:v>C</x:v>
      </x:c>
      <x:c r="F10" s="16" t="str">
        <x:v>2026-09-10</x:v>
      </x:c>
      <x:c r="G10" s="16" t="str">
        <x:v>2026-09-16</x:v>
      </x:c>
      <x:c r="H10" s="17" t="n">
        <x:v>4</x:v>
      </x:c>
      <x:c r="I10" s="12" t="str">
        <x:v>Восстановлено по памяти; границы недели</x:v>
      </x:c>
    </x:row>
    <x:row r="11" ht="32" customHeight="1">
      <x:c r="A11" s="2" t="n">
        <x:v>5</x:v>
      </x:c>
      <x:c r="B11" s="8" t="str">
        <x:v>Рассчитать нечёткий коллективный TOPSIS</x:v>
      </x:c>
      <x:c r="C11" s="18" t="str">
        <x:v>A</x:v>
      </x:c>
      <x:c r="D11" s="18" t="str">
        <x:v>R</x:v>
      </x:c>
      <x:c r="E11" s="18" t="str">
        <x:v>C</x:v>
      </x:c>
      <x:c r="F11" s="16" t="str">
        <x:v>2026-09-17</x:v>
      </x:c>
      <x:c r="G11" s="16" t="str">
        <x:v>2026-09-23</x:v>
      </x:c>
      <x:c r="H11" s="17" t="n">
        <x:v>3</x:v>
      </x:c>
      <x:c r="I11" s="12" t="str">
        <x:v>Восстановлено по памяти; границы недели</x:v>
      </x:c>
    </x:row>
    <x:row r="12" ht="32" customHeight="1">
      <x:c r="A12" s="2" t="n">
        <x:v>6</x:v>
      </x:c>
      <x:c r="B12" s="8" t="str">
        <x:v>Рассчитать чёткий коллективный МАИ</x:v>
      </x:c>
      <x:c r="C12" s="18" t="str">
        <x:v>C</x:v>
      </x:c>
      <x:c r="D12" s="18" t="str">
        <x:v>A</x:v>
      </x:c>
      <x:c r="E12" s="18" t="str">
        <x:v>R</x:v>
      </x:c>
      <x:c r="F12" s="16" t="str">
        <x:v>2026-09-17</x:v>
      </x:c>
      <x:c r="G12" s="16" t="str">
        <x:v>2026-09-23</x:v>
      </x:c>
      <x:c r="H12" s="17" t="n">
        <x:v>3</x:v>
      </x:c>
      <x:c r="I12" s="12" t="str">
        <x:v>Восстановлено по памяти; границы недели</x:v>
      </x:c>
    </x:row>
    <x:row r="13" ht="32" customHeight="1">
      <x:c r="A13" s="2" t="n">
        <x:v>7</x:v>
      </x:c>
      <x:c r="B13" s="8" t="str">
        <x:v>Сопоставить результаты и выбрать концепцию</x:v>
      </x:c>
      <x:c r="C13" s="18" t="str">
        <x:v>A</x:v>
      </x:c>
      <x:c r="D13" s="18" t="str">
        <x:v>R</x:v>
      </x:c>
      <x:c r="E13" s="18" t="str">
        <x:v>C</x:v>
      </x:c>
      <x:c r="F13" s="16" t="str">
        <x:v>2026-09-17</x:v>
      </x:c>
      <x:c r="G13" s="16" t="str">
        <x:v>2026-09-23</x:v>
      </x:c>
      <x:c r="H13" s="17" t="n">
        <x:v>3</x:v>
      </x:c>
      <x:c r="I13" s="12" t="str">
        <x:v>Восстановлено по памяти; границы недели</x:v>
      </x:c>
    </x:row>
    <x:row r="14" ht="32" customHeight="1">
      <x:c r="A14" s="2" t="n">
        <x:v>8</x:v>
      </x:c>
      <x:c r="B14" s="8" t="str">
        <x:v>Описать исходные данные, расчёты и вывод</x:v>
      </x:c>
      <x:c r="C14" s="18" t="str">
        <x:v>R</x:v>
      </x:c>
      <x:c r="D14" s="18" t="str">
        <x:v>C</x:v>
      </x:c>
      <x:c r="E14" s="18" t="str">
        <x:v>A</x:v>
      </x:c>
      <x:c r="F14" s="16" t="str">
        <x:v>2026-09-17</x:v>
      </x:c>
      <x:c r="G14" s="16" t="str">
        <x:v>2026-09-23</x:v>
      </x:c>
      <x:c r="H14" s="17" t="n">
        <x:v>3</x:v>
      </x:c>
      <x:c r="I14" s="12" t="str">
        <x:v>Восстановлено по памяти; границы недели</x:v>
      </x:c>
    </x:row>
    <x:row r="15" ht="32" customHeight="1">
      <x:c r="A15" s="2" t="n">
        <x:v>9</x:v>
      </x:c>
      <x:c r="B15" s="8" t="str">
        <x:v>Обновить RACI и учёт времени</x:v>
      </x:c>
      <x:c r="C15" s="18" t="str">
        <x:v>A</x:v>
      </x:c>
      <x:c r="D15" s="18" t="str">
        <x:v>R</x:v>
      </x:c>
      <x:c r="E15" s="18" t="str">
        <x:v>C</x:v>
      </x:c>
      <x:c r="F15" s="16" t="str">
        <x:v>2026-09-17</x:v>
      </x:c>
      <x:c r="G15" s="16" t="str">
        <x:v>2026-09-23</x:v>
      </x:c>
      <x:c r="H15" s="17" t="n">
        <x:v>3</x:v>
      </x:c>
      <x:c r="I15" s="12" t="str">
        <x:v>Восстановлено по памяти; границы недели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</x:sheetData>
  <x:dataValidations count="1">
    <x:dataValidation type="list" sqref="C7:E15">
      <x:formula1>"R,A,C,I,R/A"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F668D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2" hidden="0" customWidth="1"/>
    <x:col min="17" max="17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9" customHeight="1">
      <x:c r="A2" s="3" t="str">
        <x:v>Нечёткий коллективный TOPSIS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 t="str">
        <x:v>Оценки согласованы командой. Нормирование по максимуму верхней границы; веса /9; идеалы (1,1,1) и (0,0,0).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32" customHeight="1">
      <x:c r="A5" s="22" t="str">
        <x:v>Концепция</x:v>
      </x:c>
      <x:c r="B5" s="22" t="str">
        <x:v>D+</x:v>
      </x:c>
      <x:c r="C5" s="22" t="str">
        <x:v>D−</x:v>
      </x:c>
      <x:c r="D5" s="22" t="str">
        <x:v>Близость к идеалу</x:v>
      </x:c>
      <x:c r="E5" s="22" t="str">
        <x:v>Место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 t="str">
        <x:v>A</x:v>
      </x:c>
      <x:c r="B6" s="23" t="n">
        <x:f>SUM(P16:P19)</x:f>
        <x:v>0.8495907487375829</x:v>
      </x:c>
      <x:c r="C6" s="23" t="n">
        <x:f>SUM(Q16:Q19)</x:f>
        <x:v>3.2450480602105607</x:v>
      </x:c>
      <x:c r="D6" s="23" t="n">
        <x:f>C6/(B6+C6)</x:f>
        <x:v>0.792511430585539</x:v>
      </x:c>
      <x:c r="E6" s="2" t="n">
        <x:f>1+COUNTIF($D$6:$D$9,"&gt;"&amp;D6)</x:f>
        <x:v>1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 t="str">
        <x:v>B</x:v>
      </x:c>
      <x:c r="B7" s="23" t="n">
        <x:f>SUM(P20:P23)</x:f>
        <x:v>1.0843224391578374</x:v>
      </x:c>
      <x:c r="C7" s="23" t="n">
        <x:f>SUM(Q20:Q23)</x:f>
        <x:v>2.9950876428252107</x:v>
      </x:c>
      <x:c r="D7" s="23" t="n">
        <x:f>C7/(B7+C7)</x:f>
        <x:v>0.734196264320959</x:v>
      </x:c>
      <x:c r="E7" s="2" t="n">
        <x:f>1+COUNTIF($D$6:$D$9,"&gt;"&amp;D7)</x:f>
        <x:v>2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A8" s="2" t="str">
        <x:v>C</x:v>
      </x:c>
      <x:c r="B8" s="23" t="n">
        <x:f>SUM(P24:P27)</x:f>
        <x:v>1.209924925384814</x:v>
      </x:c>
      <x:c r="C8" s="23" t="n">
        <x:f>SUM(Q24:Q27)</x:f>
        <x:v>2.8541115460618025</x:v>
      </x:c>
      <x:c r="D8" s="23" t="n">
        <x:f>C8/(B8+C8)</x:f>
        <x:v>0.702284924388453</x:v>
      </x:c>
      <x:c r="E8" s="2" t="n">
        <x:f>1+COUNTIF($D$6:$D$9,"&gt;"&amp;D8)</x:f>
        <x:v>4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A9" s="2" t="str">
        <x:v>D</x:v>
      </x:c>
      <x:c r="B9" s="23" t="n">
        <x:f>SUM(P28:P31)</x:f>
        <x:v>1.1256532195189084</x:v>
      </x:c>
      <x:c r="C9" s="23" t="n">
        <x:f>SUM(Q28:Q31)</x:f>
        <x:v>2.9734530055548745</x:v>
      </x:c>
      <x:c r="D9" s="23" t="n">
        <x:f>C9/(B9+C9)</x:f>
        <x:v>0.7253905710875675</x:v>
      </x:c>
      <x:c r="E9" s="2" t="n">
        <x:f>1+COUNTIF($D$6:$D$9,"&gt;"&amp;D9)</x:f>
        <x:v>3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32" customHeight="1">
      <x:c r="A14" s="22" t="str">
        <x:v>Концепция</x:v>
      </x:c>
      <x:c r="B14" s="22" t="str">
        <x:v>Критерий</x:v>
      </x:c>
      <x:c r="C14" s="22" t="str">
        <x:v>Песс.</x:v>
      </x:c>
      <x:c r="D14" s="22" t="str">
        <x:v>Ожид.</x:v>
      </x:c>
      <x:c r="E14" s="22" t="str">
        <x:v>Оптим.</x:v>
      </x:c>
      <x:c r="F14" s="22" t="str">
        <x:v>Макс. граница</x:v>
      </x:c>
      <x:c r="G14" s="22" t="str">
        <x:v>Норм. песс.</x:v>
      </x:c>
      <x:c r="H14" s="22" t="str">
        <x:v>Норм. ожид.</x:v>
      </x:c>
      <x:c r="I14" s="22" t="str">
        <x:v>Норм. оптим.</x:v>
      </x:c>
      <x:c r="J14" s="22" t="str">
        <x:v>Вес песс.</x:v>
      </x:c>
      <x:c r="K14" s="22" t="str">
        <x:v>Вес ожид.</x:v>
      </x:c>
      <x:c r="L14" s="22" t="str">
        <x:v>Вес оптим.</x:v>
      </x:c>
      <x:c r="M14" s="22" t="str">
        <x:v>Взвеш. песс.</x:v>
      </x:c>
      <x:c r="N14" s="22" t="str">
        <x:v>Взвеш. ожид.</x:v>
      </x:c>
      <x:c r="O14" s="22" t="str">
        <x:v>Взвеш. оптим.</x:v>
      </x:c>
      <x:c r="P14" s="22" t="str">
        <x:v>d+</x:v>
      </x:c>
      <x:c r="Q14" s="22" t="str">
        <x:v>d−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23" customHeight="1">
      <x:c r="A16" s="2" t="str">
        <x:v>A</x:v>
      </x:c>
      <x:c r="B16" s="2" t="str">
        <x:v>K1</x:v>
      </x:c>
      <x:c r="C16" s="24" t="n">
        <x:f>'TOPSIS оценки'!G11</x:f>
        <x:v>8</x:v>
      </x:c>
      <x:c r="D16" s="24" t="n">
        <x:f>'TOPSIS оценки'!H11</x:f>
        <x:v>8</x:v>
      </x:c>
      <x:c r="E16" s="24" t="n">
        <x:f>'TOPSIS оценки'!I11</x:f>
        <x:v>9</x:v>
      </x:c>
      <x:c r="F16" s="24" t="n">
        <x:f>MAX('TOPSIS оценки'!I11,'TOPSIS оценки'!I15,'TOPSIS оценки'!I19,'TOPSIS оценки'!I23)</x:f>
        <x:v>9</x:v>
      </x:c>
      <x:c r="G16" s="24" t="n">
        <x:f>C16/F16</x:f>
        <x:v>0.8888888888888888</x:v>
      </x:c>
      <x:c r="H16" s="24" t="n">
        <x:f>D16/F16</x:f>
        <x:v>0.8888888888888888</x:v>
      </x:c>
      <x:c r="I16" s="24" t="n">
        <x:f>E16/F16</x:f>
        <x:v>1</x:v>
      </x:c>
      <x:c r="J16" s="24" t="n">
        <x:f>'TOPSIS оценки'!G7/9</x:f>
        <x:v>0.7777777777777778</x:v>
      </x:c>
      <x:c r="K16" s="24" t="n">
        <x:f>'TOPSIS оценки'!H7/9</x:f>
        <x:v>0.8888888888888888</x:v>
      </x:c>
      <x:c r="L16" s="24" t="n">
        <x:f>'TOPSIS оценки'!I7/9</x:f>
        <x:v>0.8888888888888888</x:v>
      </x:c>
      <x:c r="M16" s="24" t="n">
        <x:f>G16*J16</x:f>
        <x:v>0.691358024691358</x:v>
      </x:c>
      <x:c r="N16" s="24" t="n">
        <x:f>H16*K16</x:f>
        <x:v>0.7901234567901234</x:v>
      </x:c>
      <x:c r="O16" s="24" t="n">
        <x:f>I16*L16</x:f>
        <x:v>0.8888888888888888</x:v>
      </x:c>
      <x:c r="P16" s="24" t="n">
        <x:f>SQRT(((1-M16)^2+(1-N16)^2+(1-O16)^2)/3)</x:f>
        <x:v>0.22483602271025083</x:v>
      </x:c>
      <x:c r="Q16" s="24" t="n">
        <x:f>SQRT((M16^2+N16^2+O16^2)/3)</x:f>
        <x:v>0.7942280218478893</x:v>
      </x:c>
    </x:row>
    <x:row r="17" ht="23" customHeight="1">
      <x:c r="A17" s="2" t="str">
        <x:v>A</x:v>
      </x:c>
      <x:c r="B17" s="2" t="str">
        <x:v>K2</x:v>
      </x:c>
      <x:c r="C17" s="24" t="n">
        <x:f>'TOPSIS оценки'!G12</x:f>
        <x:v>7</x:v>
      </x:c>
      <x:c r="D17" s="24" t="n">
        <x:f>'TOPSIS оценки'!H12</x:f>
        <x:v>8</x:v>
      </x:c>
      <x:c r="E17" s="24" t="n">
        <x:f>'TOPSIS оценки'!I12</x:f>
        <x:v>8</x:v>
      </x:c>
      <x:c r="F17" s="24" t="n">
        <x:f>MAX('TOPSIS оценки'!I12,'TOPSIS оценки'!I16,'TOPSIS оценки'!I20,'TOPSIS оценки'!I24)</x:f>
        <x:v>9</x:v>
      </x:c>
      <x:c r="G17" s="24" t="n">
        <x:f>C17/F17</x:f>
        <x:v>0.7777777777777778</x:v>
      </x:c>
      <x:c r="H17" s="24" t="n">
        <x:f>D17/F17</x:f>
        <x:v>0.8888888888888888</x:v>
      </x:c>
      <x:c r="I17" s="24" t="n">
        <x:f>E17/F17</x:f>
        <x:v>0.8888888888888888</x:v>
      </x:c>
      <x:c r="J17" s="24" t="n">
        <x:f>'TOPSIS оценки'!G8/9</x:f>
        <x:v>0.8888888888888888</x:v>
      </x:c>
      <x:c r="K17" s="24" t="n">
        <x:f>'TOPSIS оценки'!H8/9</x:f>
        <x:v>1</x:v>
      </x:c>
      <x:c r="L17" s="24" t="n">
        <x:f>'TOPSIS оценки'!I8/9</x:f>
        <x:v>1</x:v>
      </x:c>
      <x:c r="M17" s="24" t="n">
        <x:f>G17*J17</x:f>
        <x:v>0.691358024691358</x:v>
      </x:c>
      <x:c r="N17" s="24" t="n">
        <x:f>H17*K17</x:f>
        <x:v>0.8888888888888888</x:v>
      </x:c>
      <x:c r="O17" s="24" t="n">
        <x:f>I17*L17</x:f>
        <x:v>0.8888888888888888</x:v>
      </x:c>
      <x:c r="P17" s="24" t="n">
        <x:f>SQRT(((1-M17)^2+(1-N17)^2+(1-O17)^2)/3)</x:f>
        <x:v>0.19995935165854065</x:v>
      </x:c>
      <x:c r="Q17" s="24" t="n">
        <x:f>SQRT((M17^2+N17^2+O17^2)/3)</x:f>
        <x:v>0.8282960082573909</x:v>
      </x:c>
    </x:row>
    <x:row r="18" ht="23" customHeight="1">
      <x:c r="A18" s="2" t="str">
        <x:v>A</x:v>
      </x:c>
      <x:c r="B18" s="2" t="str">
        <x:v>K3</x:v>
      </x:c>
      <x:c r="C18" s="24" t="n">
        <x:f>'TOPSIS оценки'!G13</x:f>
        <x:v>8</x:v>
      </x:c>
      <x:c r="D18" s="24" t="n">
        <x:f>'TOPSIS оценки'!H13</x:f>
        <x:v>9</x:v>
      </x:c>
      <x:c r="E18" s="24" t="n">
        <x:f>'TOPSIS оценки'!I13</x:f>
        <x:v>9</x:v>
      </x:c>
      <x:c r="F18" s="24" t="n">
        <x:f>MAX('TOPSIS оценки'!I13,'TOPSIS оценки'!I17,'TOPSIS оценки'!I21,'TOPSIS оценки'!I25)</x:f>
        <x:v>9</x:v>
      </x:c>
      <x:c r="G18" s="24" t="n">
        <x:f>C18/F18</x:f>
        <x:v>0.8888888888888888</x:v>
      </x:c>
      <x:c r="H18" s="24" t="n">
        <x:f>D18/F18</x:f>
        <x:v>1</x:v>
      </x:c>
      <x:c r="I18" s="24" t="n">
        <x:f>E18/F18</x:f>
        <x:v>1</x:v>
      </x:c>
      <x:c r="J18" s="24" t="n">
        <x:f>'TOPSIS оценки'!G9/9</x:f>
        <x:v>0.7777777777777778</x:v>
      </x:c>
      <x:c r="K18" s="24" t="n">
        <x:f>'TOPSIS оценки'!H9/9</x:f>
        <x:v>0.8888888888888888</x:v>
      </x:c>
      <x:c r="L18" s="24" t="n">
        <x:f>'TOPSIS оценки'!I9/9</x:f>
        <x:v>0.8888888888888888</x:v>
      </x:c>
      <x:c r="M18" s="24" t="n">
        <x:f>G18*J18</x:f>
        <x:v>0.691358024691358</x:v>
      </x:c>
      <x:c r="N18" s="24" t="n">
        <x:f>H18*K18</x:f>
        <x:v>0.8888888888888888</x:v>
      </x:c>
      <x:c r="O18" s="24" t="n">
        <x:f>I18*L18</x:f>
        <x:v>0.8888888888888888</x:v>
      </x:c>
      <x:c r="P18" s="24" t="n">
        <x:f>SQRT(((1-M18)^2+(1-N18)^2+(1-O18)^2)/3)</x:f>
        <x:v>0.19995935165854065</x:v>
      </x:c>
      <x:c r="Q18" s="24" t="n">
        <x:f>SQRT((M18^2+N18^2+O18^2)/3)</x:f>
        <x:v>0.8282960082573909</x:v>
      </x:c>
    </x:row>
    <x:row r="19" ht="23" customHeight="1">
      <x:c r="A19" s="2" t="str">
        <x:v>A</x:v>
      </x:c>
      <x:c r="B19" s="2" t="str">
        <x:v>K4</x:v>
      </x:c>
      <x:c r="C19" s="24" t="n">
        <x:f>'TOPSIS оценки'!G14</x:f>
        <x:v>8</x:v>
      </x:c>
      <x:c r="D19" s="24" t="n">
        <x:f>'TOPSIS оценки'!H14</x:f>
        <x:v>8</x:v>
      </x:c>
      <x:c r="E19" s="24" t="n">
        <x:f>'TOPSIS оценки'!I14</x:f>
        <x:v>9</x:v>
      </x:c>
      <x:c r="F19" s="24" t="n">
        <x:f>MAX('TOPSIS оценки'!I14,'TOPSIS оценки'!I18,'TOPSIS оценки'!I22,'TOPSIS оценки'!I26)</x:f>
        <x:v>9</x:v>
      </x:c>
      <x:c r="G19" s="24" t="n">
        <x:f>C19/F19</x:f>
        <x:v>0.8888888888888888</x:v>
      </x:c>
      <x:c r="H19" s="24" t="n">
        <x:f>D19/F19</x:f>
        <x:v>0.8888888888888888</x:v>
      </x:c>
      <x:c r="I19" s="24" t="n">
        <x:f>E19/F19</x:f>
        <x:v>1</x:v>
      </x:c>
      <x:c r="J19" s="24" t="n">
        <x:f>'TOPSIS оценки'!G10/9</x:f>
        <x:v>0.7777777777777778</x:v>
      </x:c>
      <x:c r="K19" s="24" t="n">
        <x:f>'TOPSIS оценки'!H10/9</x:f>
        <x:v>0.8888888888888888</x:v>
      </x:c>
      <x:c r="L19" s="24" t="n">
        <x:f>'TOPSIS оценки'!I10/9</x:f>
        <x:v>0.8888888888888888</x:v>
      </x:c>
      <x:c r="M19" s="24" t="n">
        <x:f>G19*J19</x:f>
        <x:v>0.691358024691358</x:v>
      </x:c>
      <x:c r="N19" s="24" t="n">
        <x:f>H19*K19</x:f>
        <x:v>0.7901234567901234</x:v>
      </x:c>
      <x:c r="O19" s="24" t="n">
        <x:f>I19*L19</x:f>
        <x:v>0.8888888888888888</x:v>
      </x:c>
      <x:c r="P19" s="24" t="n">
        <x:f>SQRT(((1-M19)^2+(1-N19)^2+(1-O19)^2)/3)</x:f>
        <x:v>0.22483602271025083</x:v>
      </x:c>
      <x:c r="Q19" s="24" t="n">
        <x:f>SQRT((M19^2+N19^2+O19^2)/3)</x:f>
        <x:v>0.7942280218478893</x:v>
      </x:c>
    </x:row>
    <x:row r="20" ht="23" customHeight="1">
      <x:c r="A20" s="2" t="str">
        <x:v>B</x:v>
      </x:c>
      <x:c r="B20" s="2" t="str">
        <x:v>K1</x:v>
      </x:c>
      <x:c r="C20" s="24" t="n">
        <x:f>'TOPSIS оценки'!G15</x:f>
        <x:v>7</x:v>
      </x:c>
      <x:c r="D20" s="24" t="n">
        <x:f>'TOPSIS оценки'!H15</x:f>
        <x:v>7</x:v>
      </x:c>
      <x:c r="E20" s="24" t="n">
        <x:f>'TOPSIS оценки'!I15</x:f>
        <x:v>8</x:v>
      </x:c>
      <x:c r="F20" s="24" t="n">
        <x:f>MAX('TOPSIS оценки'!I11,'TOPSIS оценки'!I15,'TOPSIS оценки'!I19,'TOPSIS оценки'!I23)</x:f>
        <x:v>9</x:v>
      </x:c>
      <x:c r="G20" s="24" t="n">
        <x:f>C20/F20</x:f>
        <x:v>0.7777777777777778</x:v>
      </x:c>
      <x:c r="H20" s="24" t="n">
        <x:f>D20/F20</x:f>
        <x:v>0.7777777777777778</x:v>
      </x:c>
      <x:c r="I20" s="24" t="n">
        <x:f>E20/F20</x:f>
        <x:v>0.8888888888888888</x:v>
      </x:c>
      <x:c r="J20" s="24" t="n">
        <x:f>'TOPSIS оценки'!G7/9</x:f>
        <x:v>0.7777777777777778</x:v>
      </x:c>
      <x:c r="K20" s="24" t="n">
        <x:f>'TOPSIS оценки'!H7/9</x:f>
        <x:v>0.8888888888888888</x:v>
      </x:c>
      <x:c r="L20" s="24" t="n">
        <x:f>'TOPSIS оценки'!I7/9</x:f>
        <x:v>0.8888888888888888</x:v>
      </x:c>
      <x:c r="M20" s="24" t="n">
        <x:f>G20*J20</x:f>
        <x:v>0.6049382716049383</x:v>
      </x:c>
      <x:c r="N20" s="24" t="n">
        <x:f>H20*K20</x:f>
        <x:v>0.691358024691358</x:v>
      </x:c>
      <x:c r="O20" s="24" t="n">
        <x:f>I20*L20</x:f>
        <x:v>0.7901234567901234</x:v>
      </x:c>
      <x:c r="P20" s="24" t="n">
        <x:f>SQRT(((1-M20)^2+(1-N20)^2+(1-O20)^2)/3)</x:f>
        <x:v>0.313784321657749</x:v>
      </x:c>
      <x:c r="Q20" s="24" t="n">
        <x:f>SQRT((M20^2+N20^2+O20^2)/3)</x:f>
        <x:v>0.699576373654676</x:v>
      </x:c>
    </x:row>
    <x:row r="21" ht="23" customHeight="1">
      <x:c r="A21" s="2" t="str">
        <x:v>B</x:v>
      </x:c>
      <x:c r="B21" s="2" t="str">
        <x:v>K2</x:v>
      </x:c>
      <x:c r="C21" s="24" t="n">
        <x:f>'TOPSIS оценки'!G16</x:f>
        <x:v>7</x:v>
      </x:c>
      <x:c r="D21" s="24" t="n">
        <x:f>'TOPSIS оценки'!H16</x:f>
        <x:v>8</x:v>
      </x:c>
      <x:c r="E21" s="24" t="n">
        <x:f>'TOPSIS оценки'!I16</x:f>
        <x:v>8</x:v>
      </x:c>
      <x:c r="F21" s="24" t="n">
        <x:f>MAX('TOPSIS оценки'!I12,'TOPSIS оценки'!I16,'TOPSIS оценки'!I20,'TOPSIS оценки'!I24)</x:f>
        <x:v>9</x:v>
      </x:c>
      <x:c r="G21" s="24" t="n">
        <x:f>C21/F21</x:f>
        <x:v>0.7777777777777778</x:v>
      </x:c>
      <x:c r="H21" s="24" t="n">
        <x:f>D21/F21</x:f>
        <x:v>0.8888888888888888</x:v>
      </x:c>
      <x:c r="I21" s="24" t="n">
        <x:f>E21/F21</x:f>
        <x:v>0.8888888888888888</x:v>
      </x:c>
      <x:c r="J21" s="24" t="n">
        <x:f>'TOPSIS оценки'!G8/9</x:f>
        <x:v>0.8888888888888888</x:v>
      </x:c>
      <x:c r="K21" s="24" t="n">
        <x:f>'TOPSIS оценки'!H8/9</x:f>
        <x:v>1</x:v>
      </x:c>
      <x:c r="L21" s="24" t="n">
        <x:f>'TOPSIS оценки'!I8/9</x:f>
        <x:v>1</x:v>
      </x:c>
      <x:c r="M21" s="24" t="n">
        <x:f>G21*J21</x:f>
        <x:v>0.691358024691358</x:v>
      </x:c>
      <x:c r="N21" s="24" t="n">
        <x:f>H21*K21</x:f>
        <x:v>0.8888888888888888</x:v>
      </x:c>
      <x:c r="O21" s="24" t="n">
        <x:f>I21*L21</x:f>
        <x:v>0.8888888888888888</x:v>
      </x:c>
      <x:c r="P21" s="24" t="n">
        <x:f>SQRT(((1-M21)^2+(1-N21)^2+(1-O21)^2)/3)</x:f>
        <x:v>0.19995935165854065</x:v>
      </x:c>
      <x:c r="Q21" s="24" t="n">
        <x:f>SQRT((M21^2+N21^2+O21^2)/3)</x:f>
        <x:v>0.8282960082573909</x:v>
      </x:c>
    </x:row>
    <x:row r="22" ht="23" customHeight="1">
      <x:c r="A22" s="2" t="str">
        <x:v>B</x:v>
      </x:c>
      <x:c r="B22" s="2" t="str">
        <x:v>K3</x:v>
      </x:c>
      <x:c r="C22" s="24" t="n">
        <x:f>'TOPSIS оценки'!G17</x:f>
        <x:v>7</x:v>
      </x:c>
      <x:c r="D22" s="24" t="n">
        <x:f>'TOPSIS оценки'!H17</x:f>
        <x:v>8</x:v>
      </x:c>
      <x:c r="E22" s="24" t="n">
        <x:f>'TOPSIS оценки'!I17</x:f>
        <x:v>8</x:v>
      </x:c>
      <x:c r="F22" s="24" t="n">
        <x:f>MAX('TOPSIS оценки'!I13,'TOPSIS оценки'!I17,'TOPSIS оценки'!I21,'TOPSIS оценки'!I25)</x:f>
        <x:v>9</x:v>
      </x:c>
      <x:c r="G22" s="24" t="n">
        <x:f>C22/F22</x:f>
        <x:v>0.7777777777777778</x:v>
      </x:c>
      <x:c r="H22" s="24" t="n">
        <x:f>D22/F22</x:f>
        <x:v>0.8888888888888888</x:v>
      </x:c>
      <x:c r="I22" s="24" t="n">
        <x:f>E22/F22</x:f>
        <x:v>0.8888888888888888</x:v>
      </x:c>
      <x:c r="J22" s="24" t="n">
        <x:f>'TOPSIS оценки'!G9/9</x:f>
        <x:v>0.7777777777777778</x:v>
      </x:c>
      <x:c r="K22" s="24" t="n">
        <x:f>'TOPSIS оценки'!H9/9</x:f>
        <x:v>0.8888888888888888</x:v>
      </x:c>
      <x:c r="L22" s="24" t="n">
        <x:f>'TOPSIS оценки'!I9/9</x:f>
        <x:v>0.8888888888888888</x:v>
      </x:c>
      <x:c r="M22" s="24" t="n">
        <x:f>G22*J22</x:f>
        <x:v>0.6049382716049383</x:v>
      </x:c>
      <x:c r="N22" s="24" t="n">
        <x:f>H22*K22</x:f>
        <x:v>0.7901234567901234</x:v>
      </x:c>
      <x:c r="O22" s="24" t="n">
        <x:f>I22*L22</x:f>
        <x:v>0.7901234567901234</x:v>
      </x:c>
      <x:c r="P22" s="24" t="n">
        <x:f>SQRT(((1-M22)^2+(1-N22)^2+(1-O22)^2)/3)</x:f>
        <x:v>0.28528938292077394</x:v>
      </x:c>
      <x:c r="Q22" s="24" t="n">
        <x:f>SQRT((M22^2+N22^2+O22^2)/3)</x:f>
        <x:v>0.7336076304565718</x:v>
      </x:c>
    </x:row>
    <x:row r="23" ht="23" customHeight="1">
      <x:c r="A23" s="2" t="str">
        <x:v>B</x:v>
      </x:c>
      <x:c r="B23" s="2" t="str">
        <x:v>K4</x:v>
      </x:c>
      <x:c r="C23" s="24" t="n">
        <x:f>'TOPSIS оценки'!G18</x:f>
        <x:v>7</x:v>
      </x:c>
      <x:c r="D23" s="24" t="n">
        <x:f>'TOPSIS оценки'!H18</x:f>
        <x:v>8</x:v>
      </x:c>
      <x:c r="E23" s="24" t="n">
        <x:f>'TOPSIS оценки'!I18</x:f>
        <x:v>8</x:v>
      </x:c>
      <x:c r="F23" s="24" t="n">
        <x:f>MAX('TOPSIS оценки'!I14,'TOPSIS оценки'!I18,'TOPSIS оценки'!I22,'TOPSIS оценки'!I26)</x:f>
        <x:v>9</x:v>
      </x:c>
      <x:c r="G23" s="24" t="n">
        <x:f>C23/F23</x:f>
        <x:v>0.7777777777777778</x:v>
      </x:c>
      <x:c r="H23" s="24" t="n">
        <x:f>D23/F23</x:f>
        <x:v>0.8888888888888888</x:v>
      </x:c>
      <x:c r="I23" s="24" t="n">
        <x:f>E23/F23</x:f>
        <x:v>0.8888888888888888</x:v>
      </x:c>
      <x:c r="J23" s="24" t="n">
        <x:f>'TOPSIS оценки'!G10/9</x:f>
        <x:v>0.7777777777777778</x:v>
      </x:c>
      <x:c r="K23" s="24" t="n">
        <x:f>'TOPSIS оценки'!H10/9</x:f>
        <x:v>0.8888888888888888</x:v>
      </x:c>
      <x:c r="L23" s="24" t="n">
        <x:f>'TOPSIS оценки'!I10/9</x:f>
        <x:v>0.8888888888888888</x:v>
      </x:c>
      <x:c r="M23" s="24" t="n">
        <x:f>G23*J23</x:f>
        <x:v>0.6049382716049383</x:v>
      </x:c>
      <x:c r="N23" s="24" t="n">
        <x:f>H23*K23</x:f>
        <x:v>0.7901234567901234</x:v>
      </x:c>
      <x:c r="O23" s="24" t="n">
        <x:f>I23*L23</x:f>
        <x:v>0.7901234567901234</x:v>
      </x:c>
      <x:c r="P23" s="24" t="n">
        <x:f>SQRT(((1-M23)^2+(1-N23)^2+(1-O23)^2)/3)</x:f>
        <x:v>0.28528938292077394</x:v>
      </x:c>
      <x:c r="Q23" s="24" t="n">
        <x:f>SQRT((M23^2+N23^2+O23^2)/3)</x:f>
        <x:v>0.7336076304565718</x:v>
      </x:c>
    </x:row>
    <x:row r="24" ht="23" customHeight="1">
      <x:c r="A24" s="2" t="str">
        <x:v>C</x:v>
      </x:c>
      <x:c r="B24" s="2" t="str">
        <x:v>K1</x:v>
      </x:c>
      <x:c r="C24" s="24" t="n">
        <x:f>'TOPSIS оценки'!G19</x:f>
        <x:v>7</x:v>
      </x:c>
      <x:c r="D24" s="24" t="n">
        <x:f>'TOPSIS оценки'!H19</x:f>
        <x:v>8</x:v>
      </x:c>
      <x:c r="E24" s="24" t="n">
        <x:f>'TOPSIS оценки'!I19</x:f>
        <x:v>8</x:v>
      </x:c>
      <x:c r="F24" s="24" t="n">
        <x:f>MAX('TOPSIS оценки'!I11,'TOPSIS оценки'!I15,'TOPSIS оценки'!I19,'TOPSIS оценки'!I23)</x:f>
        <x:v>9</x:v>
      </x:c>
      <x:c r="G24" s="24" t="n">
        <x:f>C24/F24</x:f>
        <x:v>0.7777777777777778</x:v>
      </x:c>
      <x:c r="H24" s="24" t="n">
        <x:f>D24/F24</x:f>
        <x:v>0.8888888888888888</x:v>
      </x:c>
      <x:c r="I24" s="24" t="n">
        <x:f>E24/F24</x:f>
        <x:v>0.8888888888888888</x:v>
      </x:c>
      <x:c r="J24" s="24" t="n">
        <x:f>'TOPSIS оценки'!G7/9</x:f>
        <x:v>0.7777777777777778</x:v>
      </x:c>
      <x:c r="K24" s="24" t="n">
        <x:f>'TOPSIS оценки'!H7/9</x:f>
        <x:v>0.8888888888888888</x:v>
      </x:c>
      <x:c r="L24" s="24" t="n">
        <x:f>'TOPSIS оценки'!I7/9</x:f>
        <x:v>0.8888888888888888</x:v>
      </x:c>
      <x:c r="M24" s="24" t="n">
        <x:f>G24*J24</x:f>
        <x:v>0.6049382716049383</x:v>
      </x:c>
      <x:c r="N24" s="24" t="n">
        <x:f>H24*K24</x:f>
        <x:v>0.7901234567901234</x:v>
      </x:c>
      <x:c r="O24" s="24" t="n">
        <x:f>I24*L24</x:f>
        <x:v>0.7901234567901234</x:v>
      </x:c>
      <x:c r="P24" s="24" t="n">
        <x:f>SQRT(((1-M24)^2+(1-N24)^2+(1-O24)^2)/3)</x:f>
        <x:v>0.28528938292077394</x:v>
      </x:c>
      <x:c r="Q24" s="24" t="n">
        <x:f>SQRT((M24^2+N24^2+O24^2)/3)</x:f>
        <x:v>0.7336076304565718</x:v>
      </x:c>
    </x:row>
    <x:row r="25" ht="23" customHeight="1">
      <x:c r="A25" s="2" t="str">
        <x:v>C</x:v>
      </x:c>
      <x:c r="B25" s="2" t="str">
        <x:v>K2</x:v>
      </x:c>
      <x:c r="C25" s="24" t="n">
        <x:f>'TOPSIS оценки'!G20</x:f>
        <x:v>6</x:v>
      </x:c>
      <x:c r="D25" s="24" t="n">
        <x:f>'TOPSIS оценки'!H20</x:f>
        <x:v>7</x:v>
      </x:c>
      <x:c r="E25" s="24" t="n">
        <x:f>'TOPSIS оценки'!I20</x:f>
        <x:v>7</x:v>
      </x:c>
      <x:c r="F25" s="24" t="n">
        <x:f>MAX('TOPSIS оценки'!I12,'TOPSIS оценки'!I16,'TOPSIS оценки'!I20,'TOPSIS оценки'!I24)</x:f>
        <x:v>9</x:v>
      </x:c>
      <x:c r="G25" s="24" t="n">
        <x:f>C25/F25</x:f>
        <x:v>0.6666666666666666</x:v>
      </x:c>
      <x:c r="H25" s="24" t="n">
        <x:f>D25/F25</x:f>
        <x:v>0.7777777777777778</x:v>
      </x:c>
      <x:c r="I25" s="24" t="n">
        <x:f>E25/F25</x:f>
        <x:v>0.7777777777777778</x:v>
      </x:c>
      <x:c r="J25" s="24" t="n">
        <x:f>'TOPSIS оценки'!G8/9</x:f>
        <x:v>0.8888888888888888</x:v>
      </x:c>
      <x:c r="K25" s="24" t="n">
        <x:f>'TOPSIS оценки'!H8/9</x:f>
        <x:v>1</x:v>
      </x:c>
      <x:c r="L25" s="24" t="n">
        <x:f>'TOPSIS оценки'!I8/9</x:f>
        <x:v>1</x:v>
      </x:c>
      <x:c r="M25" s="24" t="n">
        <x:f>G25*J25</x:f>
        <x:v>0.5925925925925926</x:v>
      </x:c>
      <x:c r="N25" s="24" t="n">
        <x:f>H25*K25</x:f>
        <x:v>0.7777777777777778</x:v>
      </x:c>
      <x:c r="O25" s="24" t="n">
        <x:f>I25*L25</x:f>
        <x:v>0.7777777777777778</x:v>
      </x:c>
      <x:c r="P25" s="24" t="n">
        <x:f>SQRT(((1-M25)^2+(1-N25)^2+(1-O25)^2)/3)</x:f>
        <x:v>0.29706689914854234</x:v>
      </x:c>
      <x:c r="Q25" s="24" t="n">
        <x:f>SQRT((M25^2+N25^2+O25^2)/3)</x:f>
        <x:v>0.7213511682958786</x:v>
      </x:c>
    </x:row>
    <x:row r="26" ht="23" customHeight="1">
      <x:c r="A26" s="2" t="str">
        <x:v>C</x:v>
      </x:c>
      <x:c r="B26" s="2" t="str">
        <x:v>K3</x:v>
      </x:c>
      <x:c r="C26" s="24" t="n">
        <x:f>'TOPSIS оценки'!G21</x:f>
        <x:v>7</x:v>
      </x:c>
      <x:c r="D26" s="24" t="n">
        <x:f>'TOPSIS оценки'!H21</x:f>
        <x:v>7</x:v>
      </x:c>
      <x:c r="E26" s="24" t="n">
        <x:f>'TOPSIS оценки'!I21</x:f>
        <x:v>8</x:v>
      </x:c>
      <x:c r="F26" s="24" t="n">
        <x:f>MAX('TOPSIS оценки'!I13,'TOPSIS оценки'!I17,'TOPSIS оценки'!I21,'TOPSIS оценки'!I25)</x:f>
        <x:v>9</x:v>
      </x:c>
      <x:c r="G26" s="24" t="n">
        <x:f>C26/F26</x:f>
        <x:v>0.7777777777777778</x:v>
      </x:c>
      <x:c r="H26" s="24" t="n">
        <x:f>D26/F26</x:f>
        <x:v>0.7777777777777778</x:v>
      </x:c>
      <x:c r="I26" s="24" t="n">
        <x:f>E26/F26</x:f>
        <x:v>0.8888888888888888</x:v>
      </x:c>
      <x:c r="J26" s="24" t="n">
        <x:f>'TOPSIS оценки'!G9/9</x:f>
        <x:v>0.7777777777777778</x:v>
      </x:c>
      <x:c r="K26" s="24" t="n">
        <x:f>'TOPSIS оценки'!H9/9</x:f>
        <x:v>0.8888888888888888</x:v>
      </x:c>
      <x:c r="L26" s="24" t="n">
        <x:f>'TOPSIS оценки'!I9/9</x:f>
        <x:v>0.8888888888888888</x:v>
      </x:c>
      <x:c r="M26" s="24" t="n">
        <x:f>G26*J26</x:f>
        <x:v>0.6049382716049383</x:v>
      </x:c>
      <x:c r="N26" s="24" t="n">
        <x:f>H26*K26</x:f>
        <x:v>0.691358024691358</x:v>
      </x:c>
      <x:c r="O26" s="24" t="n">
        <x:f>I26*L26</x:f>
        <x:v>0.7901234567901234</x:v>
      </x:c>
      <x:c r="P26" s="24" t="n">
        <x:f>SQRT(((1-M26)^2+(1-N26)^2+(1-O26)^2)/3)</x:f>
        <x:v>0.313784321657749</x:v>
      </x:c>
      <x:c r="Q26" s="24" t="n">
        <x:f>SQRT((M26^2+N26^2+O26^2)/3)</x:f>
        <x:v>0.699576373654676</x:v>
      </x:c>
    </x:row>
    <x:row r="27" ht="23" customHeight="1">
      <x:c r="A27" s="2" t="str">
        <x:v>C</x:v>
      </x:c>
      <x:c r="B27" s="2" t="str">
        <x:v>K4</x:v>
      </x:c>
      <x:c r="C27" s="24" t="n">
        <x:f>'TOPSIS оценки'!G22</x:f>
        <x:v>7</x:v>
      </x:c>
      <x:c r="D27" s="24" t="n">
        <x:f>'TOPSIS оценки'!H22</x:f>
        <x:v>7</x:v>
      </x:c>
      <x:c r="E27" s="24" t="n">
        <x:f>'TOPSIS оценки'!I22</x:f>
        <x:v>8</x:v>
      </x:c>
      <x:c r="F27" s="24" t="n">
        <x:f>MAX('TOPSIS оценки'!I14,'TOPSIS оценки'!I18,'TOPSIS оценки'!I22,'TOPSIS оценки'!I26)</x:f>
        <x:v>9</x:v>
      </x:c>
      <x:c r="G27" s="24" t="n">
        <x:f>C27/F27</x:f>
        <x:v>0.7777777777777778</x:v>
      </x:c>
      <x:c r="H27" s="24" t="n">
        <x:f>D27/F27</x:f>
        <x:v>0.7777777777777778</x:v>
      </x:c>
      <x:c r="I27" s="24" t="n">
        <x:f>E27/F27</x:f>
        <x:v>0.8888888888888888</x:v>
      </x:c>
      <x:c r="J27" s="24" t="n">
        <x:f>'TOPSIS оценки'!G10/9</x:f>
        <x:v>0.7777777777777778</x:v>
      </x:c>
      <x:c r="K27" s="24" t="n">
        <x:f>'TOPSIS оценки'!H10/9</x:f>
        <x:v>0.8888888888888888</x:v>
      </x:c>
      <x:c r="L27" s="24" t="n">
        <x:f>'TOPSIS оценки'!I10/9</x:f>
        <x:v>0.8888888888888888</x:v>
      </x:c>
      <x:c r="M27" s="24" t="n">
        <x:f>G27*J27</x:f>
        <x:v>0.6049382716049383</x:v>
      </x:c>
      <x:c r="N27" s="24" t="n">
        <x:f>H27*K27</x:f>
        <x:v>0.691358024691358</x:v>
      </x:c>
      <x:c r="O27" s="24" t="n">
        <x:f>I27*L27</x:f>
        <x:v>0.7901234567901234</x:v>
      </x:c>
      <x:c r="P27" s="24" t="n">
        <x:f>SQRT(((1-M27)^2+(1-N27)^2+(1-O27)^2)/3)</x:f>
        <x:v>0.313784321657749</x:v>
      </x:c>
      <x:c r="Q27" s="24" t="n">
        <x:f>SQRT((M27^2+N27^2+O27^2)/3)</x:f>
        <x:v>0.699576373654676</x:v>
      </x:c>
    </x:row>
    <x:row r="28" ht="23" customHeight="1">
      <x:c r="A28" s="2" t="str">
        <x:v>D</x:v>
      </x:c>
      <x:c r="B28" s="2" t="str">
        <x:v>K1</x:v>
      </x:c>
      <x:c r="C28" s="24" t="n">
        <x:f>'TOPSIS оценки'!G23</x:f>
        <x:v>6</x:v>
      </x:c>
      <x:c r="D28" s="24" t="n">
        <x:f>'TOPSIS оценки'!H23</x:f>
        <x:v>6</x:v>
      </x:c>
      <x:c r="E28" s="24" t="n">
        <x:f>'TOPSIS оценки'!I23</x:f>
        <x:v>7</x:v>
      </x:c>
      <x:c r="F28" s="24" t="n">
        <x:f>MAX('TOPSIS оценки'!I11,'TOPSIS оценки'!I15,'TOPSIS оценки'!I19,'TOPSIS оценки'!I23)</x:f>
        <x:v>9</x:v>
      </x:c>
      <x:c r="G28" s="24" t="n">
        <x:f>C28/F28</x:f>
        <x:v>0.6666666666666666</x:v>
      </x:c>
      <x:c r="H28" s="24" t="n">
        <x:f>D28/F28</x:f>
        <x:v>0.6666666666666666</x:v>
      </x:c>
      <x:c r="I28" s="24" t="n">
        <x:f>E28/F28</x:f>
        <x:v>0.7777777777777778</x:v>
      </x:c>
      <x:c r="J28" s="24" t="n">
        <x:f>'TOPSIS оценки'!G7/9</x:f>
        <x:v>0.7777777777777778</x:v>
      </x:c>
      <x:c r="K28" s="24" t="n">
        <x:f>'TOPSIS оценки'!H7/9</x:f>
        <x:v>0.8888888888888888</x:v>
      </x:c>
      <x:c r="L28" s="24" t="n">
        <x:f>'TOPSIS оценки'!I7/9</x:f>
        <x:v>0.8888888888888888</x:v>
      </x:c>
      <x:c r="M28" s="24" t="n">
        <x:f>G28*J28</x:f>
        <x:v>0.5185185185185185</x:v>
      </x:c>
      <x:c r="N28" s="24" t="n">
        <x:f>H28*K28</x:f>
        <x:v>0.5925925925925926</x:v>
      </x:c>
      <x:c r="O28" s="24" t="n">
        <x:f>I28*L28</x:f>
        <x:v>0.691358024691358</x:v>
      </x:c>
      <x:c r="P28" s="24" t="n">
        <x:f>SQRT(((1-M28)^2+(1-N28)^2+(1-O28)^2)/3)</x:f>
        <x:v>0.40540723622157504</x:v>
      </x:c>
      <x:c r="Q28" s="24" t="n">
        <x:f>SQRT((M28^2+N28^2+O28^2)/3)</x:f>
        <x:v>0.6049802622530717</x:v>
      </x:c>
    </x:row>
    <x:row r="29" ht="23" customHeight="1">
      <x:c r="A29" s="2" t="str">
        <x:v>D</x:v>
      </x:c>
      <x:c r="B29" s="2" t="str">
        <x:v>K2</x:v>
      </x:c>
      <x:c r="C29" s="24" t="n">
        <x:f>'TOPSIS оценки'!G24</x:f>
        <x:v>8</x:v>
      </x:c>
      <x:c r="D29" s="24" t="n">
        <x:f>'TOPSIS оценки'!H24</x:f>
        <x:v>9</x:v>
      </x:c>
      <x:c r="E29" s="24" t="n">
        <x:f>'TOPSIS оценки'!I24</x:f>
        <x:v>9</x:v>
      </x:c>
      <x:c r="F29" s="24" t="n">
        <x:f>MAX('TOPSIS оценки'!I12,'TOPSIS оценки'!I16,'TOPSIS оценки'!I20,'TOPSIS оценки'!I24)</x:f>
        <x:v>9</x:v>
      </x:c>
      <x:c r="G29" s="24" t="n">
        <x:f>C29/F29</x:f>
        <x:v>0.8888888888888888</x:v>
      </x:c>
      <x:c r="H29" s="24" t="n">
        <x:f>D29/F29</x:f>
        <x:v>1</x:v>
      </x:c>
      <x:c r="I29" s="24" t="n">
        <x:f>E29/F29</x:f>
        <x:v>1</x:v>
      </x:c>
      <x:c r="J29" s="24" t="n">
        <x:f>'TOPSIS оценки'!G8/9</x:f>
        <x:v>0.8888888888888888</x:v>
      </x:c>
      <x:c r="K29" s="24" t="n">
        <x:f>'TOPSIS оценки'!H8/9</x:f>
        <x:v>1</x:v>
      </x:c>
      <x:c r="L29" s="24" t="n">
        <x:f>'TOPSIS оценки'!I8/9</x:f>
        <x:v>1</x:v>
      </x:c>
      <x:c r="M29" s="24" t="n">
        <x:f>G29*J29</x:f>
        <x:v>0.7901234567901234</x:v>
      </x:c>
      <x:c r="N29" s="24" t="n">
        <x:f>H29*K29</x:f>
        <x:v>1</x:v>
      </x:c>
      <x:c r="O29" s="24" t="n">
        <x:f>I29*L29</x:f>
        <x:v>1</x:v>
      </x:c>
      <x:c r="P29" s="24" t="n">
        <x:f>SQRT(((1-M29)^2+(1-N29)^2+(1-O29)^2)/3)</x:f>
        <x:v>0.12117227871881038</x:v>
      </x:c>
      <x:c r="Q29" s="24" t="n">
        <x:f>SQRT((M29^2+N29^2+O29^2)/3)</x:f>
        <x:v>0.935288739190555</x:v>
      </x:c>
    </x:row>
    <x:row r="30" ht="23" customHeight="1">
      <x:c r="A30" s="2" t="str">
        <x:v>D</x:v>
      </x:c>
      <x:c r="B30" s="2" t="str">
        <x:v>K3</x:v>
      </x:c>
      <x:c r="C30" s="24" t="n">
        <x:f>'TOPSIS оценки'!G25</x:f>
        <x:v>7</x:v>
      </x:c>
      <x:c r="D30" s="24" t="n">
        <x:f>'TOPSIS оценки'!H25</x:f>
        <x:v>8</x:v>
      </x:c>
      <x:c r="E30" s="24" t="n">
        <x:f>'TOPSIS оценки'!I25</x:f>
        <x:v>8</x:v>
      </x:c>
      <x:c r="F30" s="24" t="n">
        <x:f>MAX('TOPSIS оценки'!I13,'TOPSIS оценки'!I17,'TOPSIS оценки'!I21,'TOPSIS оценки'!I25)</x:f>
        <x:v>9</x:v>
      </x:c>
      <x:c r="G30" s="24" t="n">
        <x:f>C30/F30</x:f>
        <x:v>0.7777777777777778</x:v>
      </x:c>
      <x:c r="H30" s="24" t="n">
        <x:f>D30/F30</x:f>
        <x:v>0.8888888888888888</x:v>
      </x:c>
      <x:c r="I30" s="24" t="n">
        <x:f>E30/F30</x:f>
        <x:v>0.8888888888888888</x:v>
      </x:c>
      <x:c r="J30" s="24" t="n">
        <x:f>'TOPSIS оценки'!G9/9</x:f>
        <x:v>0.7777777777777778</x:v>
      </x:c>
      <x:c r="K30" s="24" t="n">
        <x:f>'TOPSIS оценки'!H9/9</x:f>
        <x:v>0.8888888888888888</x:v>
      </x:c>
      <x:c r="L30" s="24" t="n">
        <x:f>'TOPSIS оценки'!I9/9</x:f>
        <x:v>0.8888888888888888</x:v>
      </x:c>
      <x:c r="M30" s="24" t="n">
        <x:f>G30*J30</x:f>
        <x:v>0.6049382716049383</x:v>
      </x:c>
      <x:c r="N30" s="24" t="n">
        <x:f>H30*K30</x:f>
        <x:v>0.7901234567901234</x:v>
      </x:c>
      <x:c r="O30" s="24" t="n">
        <x:f>I30*L30</x:f>
        <x:v>0.7901234567901234</x:v>
      </x:c>
      <x:c r="P30" s="24" t="n">
        <x:f>SQRT(((1-M30)^2+(1-N30)^2+(1-O30)^2)/3)</x:f>
        <x:v>0.28528938292077394</x:v>
      </x:c>
      <x:c r="Q30" s="24" t="n">
        <x:f>SQRT((M30^2+N30^2+O30^2)/3)</x:f>
        <x:v>0.7336076304565718</x:v>
      </x:c>
    </x:row>
    <x:row r="31" ht="23" customHeight="1">
      <x:c r="A31" s="2" t="str">
        <x:v>D</x:v>
      </x:c>
      <x:c r="B31" s="2" t="str">
        <x:v>K4</x:v>
      </x:c>
      <x:c r="C31" s="24" t="n">
        <x:f>'TOPSIS оценки'!G26</x:f>
        <x:v>7</x:v>
      </x:c>
      <x:c r="D31" s="24" t="n">
        <x:f>'TOPSIS оценки'!H26</x:f>
        <x:v>7</x:v>
      </x:c>
      <x:c r="E31" s="24" t="n">
        <x:f>'TOPSIS оценки'!I26</x:f>
        <x:v>8</x:v>
      </x:c>
      <x:c r="F31" s="24" t="n">
        <x:f>MAX('TOPSIS оценки'!I14,'TOPSIS оценки'!I18,'TOPSIS оценки'!I22,'TOPSIS оценки'!I26)</x:f>
        <x:v>9</x:v>
      </x:c>
      <x:c r="G31" s="24" t="n">
        <x:f>C31/F31</x:f>
        <x:v>0.7777777777777778</x:v>
      </x:c>
      <x:c r="H31" s="24" t="n">
        <x:f>D31/F31</x:f>
        <x:v>0.7777777777777778</x:v>
      </x:c>
      <x:c r="I31" s="24" t="n">
        <x:f>E31/F31</x:f>
        <x:v>0.8888888888888888</x:v>
      </x:c>
      <x:c r="J31" s="24" t="n">
        <x:f>'TOPSIS оценки'!G10/9</x:f>
        <x:v>0.7777777777777778</x:v>
      </x:c>
      <x:c r="K31" s="24" t="n">
        <x:f>'TOPSIS оценки'!H10/9</x:f>
        <x:v>0.8888888888888888</x:v>
      </x:c>
      <x:c r="L31" s="24" t="n">
        <x:f>'TOPSIS оценки'!I10/9</x:f>
        <x:v>0.8888888888888888</x:v>
      </x:c>
      <x:c r="M31" s="24" t="n">
        <x:f>G31*J31</x:f>
        <x:v>0.6049382716049383</x:v>
      </x:c>
      <x:c r="N31" s="24" t="n">
        <x:f>H31*K31</x:f>
        <x:v>0.691358024691358</x:v>
      </x:c>
      <x:c r="O31" s="24" t="n">
        <x:f>I31*L31</x:f>
        <x:v>0.7901234567901234</x:v>
      </x:c>
      <x:c r="P31" s="24" t="n">
        <x:f>SQRT(((1-M31)^2+(1-N31)^2+(1-O31)^2)/3)</x:f>
        <x:v>0.313784321657749</x:v>
      </x:c>
      <x:c r="Q31" s="24" t="n">
        <x:f>SQRT((M31^2+N31^2+O31^2)/3)</x:f>
        <x:v>0.699576373654676</x:v>
      </x:c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A8BAE"/>
  </x:sheetPr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9" customHeight="1">
      <x:c r="A2" s="3" t="str">
        <x:v>Чёткий коллективный МАИ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Оценки согласованы командой. Геометрическая агрегация суждений; локальные и глобальные приоритеты; проверка CR.</x:v>
      </x:c>
      <x:c r="B4" s="2"/>
      <x:c r="C4" s="2"/>
      <x:c r="D4" s="2"/>
      <x:c r="E4" s="2"/>
      <x:c r="F4" s="2"/>
      <x:c r="G4" s="2"/>
      <x:c r="H4" s="2"/>
    </x:row>
    <x:row r="5" ht="32" customHeight="1">
      <x:c r="A5" s="22" t="str">
        <x:v>Концепция</x:v>
      </x:c>
      <x:c r="B5" s="22" t="str">
        <x:v>Глобальный приоритет</x:v>
      </x:c>
      <x:c r="C5" s="22" t="str">
        <x:v>K1</x:v>
      </x:c>
      <x:c r="D5" s="22" t="str">
        <x:v>K2</x:v>
      </x:c>
      <x:c r="E5" s="22" t="str">
        <x:v>K3</x:v>
      </x:c>
      <x:c r="F5" s="22" t="str">
        <x:v>K4</x:v>
      </x:c>
      <x:c r="G5" s="22" t="str">
        <x:v>Место</x:v>
      </x:c>
      <x:c r="H5" s="2"/>
    </x:row>
    <x:row r="6">
      <x:c r="A6" s="2" t="str">
        <x:v>A</x:v>
      </x:c>
      <x:c r="B6" s="23" t="n">
        <x:f>C6*$B$13+D6*$B$14+E6*$B$15+F6*$B$16</x:f>
        <x:v>0.37598857537034847</x:v>
      </x:c>
      <x:c r="C6" s="23" t="n">
        <x:f>G29</x:f>
        <x:v>0.4501173949418021</x:v>
      </x:c>
      <x:c r="D6" s="23" t="n">
        <x:f>G37</x:f>
        <x:v>0.19594807063468617</x:v>
      </x:c>
      <x:c r="E6" s="23" t="n">
        <x:f>G45</x:f>
        <x:v>0.4290980006124808</x:v>
      </x:c>
      <x:c r="F6" s="23" t="n">
        <x:f>G53</x:f>
        <x:v>0.4424229274038621</x:v>
      </x:c>
      <x:c r="G6" s="2" t="n">
        <x:f>1+COUNTIF($B$6:$B$9,"&gt;"&amp;B6)</x:f>
        <x:v>1</x:v>
      </x:c>
      <x:c r="H6" s="2"/>
    </x:row>
    <x:row r="7">
      <x:c r="A7" s="2" t="str">
        <x:v>B</x:v>
      </x:c>
      <x:c r="B7" s="23" t="n">
        <x:f>C7*$B$13+D7*$B$14+E7*$B$15+F7*$B$16</x:f>
        <x:v>0.272321038711284</x:v>
      </x:c>
      <x:c r="C7" s="23" t="n">
        <x:f>G30</x:f>
        <x:v>0.16695672842691006</x:v>
      </x:c>
      <x:c r="D7" s="23" t="n">
        <x:f>G38</x:f>
        <x:v>0.40536407663931295</x:v>
      </x:c>
      <x:c r="E7" s="23" t="n">
        <x:f>G46</x:f>
        <x:v>0.24082311034647094</x:v>
      </x:c>
      <x:c r="F7" s="23" t="n">
        <x:f>G54</x:f>
        <x:v>0.2787089795961186</x:v>
      </x:c>
      <x:c r="G7" s="2" t="n">
        <x:f>1+COUNTIF($B$6:$B$9,"&gt;"&amp;B7)</x:f>
        <x:v>2</x:v>
      </x:c>
      <x:c r="H7" s="2"/>
    </x:row>
    <x:row r="8">
      <x:c r="A8" s="2" t="str">
        <x:v>C</x:v>
      </x:c>
      <x:c r="B8" s="23" t="n">
        <x:f>C8*$B$13+D8*$B$14+E8*$B$15+F8*$B$16</x:f>
        <x:v>0.1616832756743949</x:v>
      </x:c>
      <x:c r="C8" s="23" t="n">
        <x:f>G31</x:f>
        <x:v>0.27413523609256557</x:v>
      </x:c>
      <x:c r="D8" s="23" t="n">
        <x:f>G39</x:f>
        <x:v>0.0979740353173431</x:v>
      </x:c>
      <x:c r="E8" s="23" t="n">
        <x:f>G47</x:f>
        <x:v>0.12757159884045105</x:v>
      </x:c>
      <x:c r="F8" s="23" t="n">
        <x:f>G55</x:f>
        <x:v>0.14414355777926527</x:v>
      </x:c>
      <x:c r="G8" s="2" t="n">
        <x:f>1+COUNTIF($B$6:$B$9,"&gt;"&amp;B8)</x:f>
        <x:v>4</x:v>
      </x:c>
      <x:c r="H8" s="2"/>
    </x:row>
    <x:row r="9">
      <x:c r="A9" s="2" t="str">
        <x:v>D</x:v>
      </x:c>
      <x:c r="B9" s="23" t="n">
        <x:f>C9*$B$13+D9*$B$14+E9*$B$15+F9*$B$16</x:f>
        <x:v>0.19000711024397252</x:v>
      </x:c>
      <x:c r="C9" s="23" t="n">
        <x:f>G32</x:f>
        <x:v>0.10879064053872235</x:v>
      </x:c>
      <x:c r="D9" s="23" t="n">
        <x:f>G40</x:f>
        <x:v>0.300713817408658</x:v>
      </x:c>
      <x:c r="E9" s="23" t="n">
        <x:f>G48</x:f>
        <x:v>0.20250729020059713</x:v>
      </x:c>
      <x:c r="F9" s="23" t="n">
        <x:f>G56</x:f>
        <x:v>0.13472453522075406</x:v>
      </x:c>
      <x:c r="G9" s="2" t="n">
        <x:f>1+COUNTIF($B$6:$B$9,"&gt;"&amp;B9)</x:f>
        <x:v>3</x:v>
      </x:c>
      <x:c r="H9" s="2"/>
    </x:row>
    <x:row r="10">
      <x:c r="A10" s="2"/>
      <x:c r="B10" s="23"/>
      <x:c r="C10" s="23"/>
      <x:c r="D10" s="23"/>
      <x:c r="E10" s="23"/>
      <x:c r="F10" s="23"/>
      <x:c r="G10" s="2"/>
      <x:c r="H10" s="2"/>
    </x:row>
    <x:row r="11">
      <x:c r="A11" s="2"/>
      <x:c r="B11" s="23"/>
      <x:c r="C11" s="23"/>
      <x:c r="D11" s="23"/>
      <x:c r="E11" s="23"/>
      <x:c r="F11" s="23"/>
      <x:c r="G11" s="2"/>
      <x:c r="H11" s="2"/>
    </x:row>
    <x:row r="12" ht="32" customHeight="1">
      <x:c r="A12" s="22" t="str">
        <x:v>Критерий</x:v>
      </x:c>
      <x:c r="B12" s="25" t="str">
        <x:v>Вес</x:v>
      </x:c>
      <x:c r="C12" s="23"/>
      <x:c r="D12" s="23"/>
      <x:c r="E12" s="23"/>
      <x:c r="F12" s="23"/>
      <x:c r="G12" s="2"/>
      <x:c r="H12" s="2"/>
    </x:row>
    <x:row r="13">
      <x:c r="A13" s="2" t="str">
        <x:v>K1</x:v>
      </x:c>
      <x:c r="B13" s="23" t="n">
        <x:f>G21</x:f>
        <x:v>0.2630404631410263</x:v>
      </x:c>
      <x:c r="C13" s="23"/>
      <x:c r="D13" s="23"/>
      <x:c r="E13" s="23"/>
      <x:c r="F13" s="23"/>
      <x:c r="G13" s="2"/>
      <x:c r="H13" s="2"/>
    </x:row>
    <x:row r="14">
      <x:c r="A14" s="2" t="str">
        <x:v>K2</x:v>
      </x:c>
      <x:c r="B14" s="23" t="n">
        <x:f>G22</x:f>
        <x:v>0.2630404631410263</x:v>
      </x:c>
      <x:c r="C14" s="23"/>
      <x:c r="D14" s="23"/>
      <x:c r="E14" s="23"/>
      <x:c r="F14" s="23"/>
      <x:c r="G14" s="2"/>
      <x:c r="H14" s="2"/>
    </x:row>
    <x:row r="15">
      <x:c r="A15" s="2" t="str">
        <x:v>K3</x:v>
      </x:c>
      <x:c r="B15" s="23" t="n">
        <x:f>G23</x:f>
        <x:v>0.27208013356438865</x:v>
      </x:c>
      <x:c r="C15" s="23"/>
      <x:c r="D15" s="23"/>
      <x:c r="E15" s="23"/>
      <x:c r="F15" s="23"/>
      <x:c r="G15" s="2"/>
      <x:c r="H15" s="2"/>
    </x:row>
    <x:row r="16">
      <x:c r="A16" s="2" t="str">
        <x:v>K4</x:v>
      </x:c>
      <x:c r="B16" s="23" t="n">
        <x:f>G24</x:f>
        <x:v>0.20183894015355863</x:v>
      </x:c>
      <x:c r="C16" s="23"/>
      <x:c r="D16" s="23"/>
      <x:c r="E16" s="23"/>
      <x:c r="F16" s="23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 ht="32" customHeight="1">
      <x:c r="A20" s="22" t="str">
        <x:v>Критерии</x:v>
      </x:c>
      <x:c r="B20" s="22" t="str">
        <x:v>K1</x:v>
      </x:c>
      <x:c r="C20" s="22" t="str">
        <x:v>K2</x:v>
      </x:c>
      <x:c r="D20" s="22" t="str">
        <x:v>K3</x:v>
      </x:c>
      <x:c r="E20" s="22" t="str">
        <x:v>K4</x:v>
      </x:c>
      <x:c r="F20" s="22" t="str">
        <x:v>Геом. среднее</x:v>
      </x:c>
      <x:c r="G20" s="22" t="str">
        <x:v>Приоритет</x:v>
      </x:c>
      <x:c r="H20" s="22" t="str">
        <x:v>(A·w)/w</x:v>
      </x:c>
    </x:row>
    <x:row r="21" ht="23" customHeight="1">
      <x:c r="A21" s="2" t="str">
        <x:v>K1</x:v>
      </x:c>
      <x:c r="B21" s="23" t="n">
        <x:f>1</x:f>
        <x:v>1</x:v>
      </x:c>
      <x:c r="C21" s="23" t="n">
        <x:f>'МАИ сравнения'!J8</x:f>
        <x:v>0.8735804647362988</x:v>
      </x:c>
      <x:c r="D21" s="23" t="n">
        <x:f>'МАИ сравнения'!J9</x:f>
        <x:v>1</x:v>
      </x:c>
      <x:c r="E21" s="23" t="n">
        <x:f>'МАИ сравнения'!J10</x:f>
        <x:v>1.4422495703074083</x:v>
      </x:c>
      <x:c r="F21" s="23" t="n">
        <x:f>GEOMEAN(B21:E21)</x:f>
        <x:v>1.0594630943592953</x:v>
      </x:c>
      <x:c r="G21" s="23" t="n">
        <x:f>F21/SUM($F$21:$F$24)</x:f>
        <x:v>0.2630404631410263</x:v>
      </x:c>
      <x:c r="H21" s="23" t="n">
        <x:f>(B21*$G$21+C21*$G$22+D21*$G$23+E21*$G$24)/G21</x:f>
        <x:v>4.014628467568536</x:v>
      </x:c>
    </x:row>
    <x:row r="22" ht="23" customHeight="1">
      <x:c r="A22" s="2" t="str">
        <x:v>K2</x:v>
      </x:c>
      <x:c r="B22" s="23" t="n">
        <x:f>1/'МАИ сравнения'!J8</x:f>
        <x:v>1.1447142425533319</x:v>
      </x:c>
      <x:c r="C22" s="23" t="n">
        <x:f>1</x:f>
        <x:v>1</x:v>
      </x:c>
      <x:c r="D22" s="23" t="n">
        <x:f>'МАИ сравнения'!J11</x:f>
        <x:v>0.8735804647362988</x:v>
      </x:c>
      <x:c r="E22" s="23" t="n">
        <x:f>'МАИ сравнения'!J12</x:f>
        <x:v>1.2599210498948732</x:v>
      </x:c>
      <x:c r="F22" s="23" t="n">
        <x:f>GEOMEAN(B22:E22)</x:f>
        <x:v>1.0594630943592953</x:v>
      </x:c>
      <x:c r="G22" s="23" t="n">
        <x:f>F22/SUM($F$21:$F$24)</x:f>
        <x:v>0.2630404631410263</x:v>
      </x:c>
      <x:c r="H22" s="23" t="n">
        <x:f>(B22*$G$21+C22*$G$22+D22*$G$23+E22*$G$24)/G22</x:f>
        <x:v>4.015091951890242</x:v>
      </x:c>
    </x:row>
    <x:row r="23" ht="23" customHeight="1">
      <x:c r="A23" s="2" t="str">
        <x:v>K3</x:v>
      </x:c>
      <x:c r="B23" s="23" t="n">
        <x:f>1/'МАИ сравнения'!J9</x:f>
        <x:v>1</x:v>
      </x:c>
      <x:c r="C23" s="23" t="n">
        <x:f>1/'МАИ сравнения'!J11</x:f>
        <x:v>1.1447142425533319</x:v>
      </x:c>
      <x:c r="D23" s="23" t="n">
        <x:f>1</x:f>
        <x:v>1</x:v>
      </x:c>
      <x:c r="E23" s="23" t="n">
        <x:f>'МАИ сравнения'!J13</x:f>
        <x:v>1.2599210498948732</x:v>
      </x:c>
      <x:c r="F23" s="23" t="n">
        <x:f>GEOMEAN(B23:E23)</x:f>
        <x:v>1.0958726911352443</x:v>
      </x:c>
      <x:c r="G23" s="23" t="n">
        <x:f>F23/SUM($F$21:$F$24)</x:f>
        <x:v>0.27208013356438865</x:v>
      </x:c>
      <x:c r="H23" s="23" t="n">
        <x:f>(B23*$G$21+C23*$G$22+D23*$G$23+E23*$G$24)/G23</x:f>
        <x:v>4.008112890611455</x:v>
      </x:c>
    </x:row>
    <x:row r="24" ht="23" customHeight="1">
      <x:c r="A24" s="2" t="str">
        <x:v>K4</x:v>
      </x:c>
      <x:c r="B24" s="23" t="n">
        <x:f>1/'МАИ сравнения'!J10</x:f>
        <x:v>0.6933612743506348</x:v>
      </x:c>
      <x:c r="C24" s="23" t="n">
        <x:f>1/'МАИ сравнения'!J12</x:f>
        <x:v>0.7937005259840997</x:v>
      </x:c>
      <x:c r="D24" s="23" t="n">
        <x:f>1/'МАИ сравнения'!J13</x:f>
        <x:v>0.7937005259840997</x:v>
      </x:c>
      <x:c r="E24" s="23" t="n">
        <x:f>1</x:f>
        <x:v>1</x:v>
      </x:c>
      <x:c r="F24" s="23" t="n">
        <x:f>GEOMEAN(B24:E24)</x:f>
        <x:v>0.8129582253002701</x:v>
      </x:c>
      <x:c r="G24" s="23" t="n">
        <x:f>F24/SUM($F$21:$F$24)</x:f>
        <x:v>0.20183894015355863</x:v>
      </x:c>
      <x:c r="H24" s="23" t="n">
        <x:f>(B24*$G$21+C24*$G$22+D24*$G$23+E24*$G$24)/G24</x:f>
        <x:v>4.0078812806754245</x:v>
      </x:c>
    </x:row>
    <x:row r="25" ht="23" customHeight="1">
      <x:c r="A25" s="2" t="str">
        <x:v>CR</x:v>
      </x:c>
      <x:c r="B25" s="23" t="n">
        <x:f>(AVERAGE(H21:H24)-4)/3/0.9</x:f>
        <x:v>0.00423283247644973</x:v>
      </x:c>
      <x:c r="C25" s="2"/>
      <x:c r="D25" s="2"/>
      <x:c r="E25" s="2"/>
      <x:c r="F25" s="2"/>
      <x:c r="G25" s="2"/>
      <x:c r="H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23" customHeight="1">
      <x:c r="A28" s="22" t="str">
        <x:v>K1: концепции</x:v>
      </x:c>
      <x:c r="B28" s="22" t="str">
        <x:v>A</x:v>
      </x:c>
      <x:c r="C28" s="22" t="str">
        <x:v>B</x:v>
      </x:c>
      <x:c r="D28" s="22" t="str">
        <x:v>C</x:v>
      </x:c>
      <x:c r="E28" s="22" t="str">
        <x:v>D</x:v>
      </x:c>
      <x:c r="F28" s="22" t="str">
        <x:v>Геом. среднее</x:v>
      </x:c>
      <x:c r="G28" s="22" t="str">
        <x:v>Приоритет</x:v>
      </x:c>
      <x:c r="H28" s="22" t="str">
        <x:v>(A·w)/w</x:v>
      </x:c>
    </x:row>
    <x:row r="29" ht="23" customHeight="1">
      <x:c r="A29" s="2" t="str">
        <x:v>A</x:v>
      </x:c>
      <x:c r="B29" s="23" t="n">
        <x:f>1</x:f>
        <x:v>1</x:v>
      </x:c>
      <x:c r="C29" s="23" t="n">
        <x:f>'МАИ сравнения'!J14</x:f>
        <x:v>2.8844991406148166</x:v>
      </x:c>
      <x:c r="D29" s="23" t="n">
        <x:f>'МАИ сравнения'!J15</x:f>
        <x:v>1.5874010519681994</x:v>
      </x:c>
      <x:c r="E29" s="23" t="n">
        <x:f>'МАИ сравнения'!J16</x:f>
        <x:v>4</x:v>
      </x:c>
      <x:c r="F29" s="23" t="n">
        <x:f>GEOMEAN(B29:E29)</x:f>
        <x:v>2.068732166263833</x:v>
      </x:c>
      <x:c r="G29" s="23" t="n">
        <x:f>F29/SUM($F$29:$F$32)</x:f>
        <x:v>0.4501173949418021</x:v>
      </x:c>
      <x:c r="H29" s="23" t="n">
        <x:f>(B29*$G$29+C29*$G$30+D29*$G$31+E29*$G$32)/G29</x:f>
        <x:v>4.003464605387795</x:v>
      </x:c>
    </x:row>
    <x:row r="30" ht="23" customHeight="1">
      <x:c r="A30" s="2" t="str">
        <x:v>B</x:v>
      </x:c>
      <x:c r="B30" s="23" t="n">
        <x:f>1/'МАИ сравнения'!J14</x:f>
        <x:v>0.3466806371753174</x:v>
      </x:c>
      <x:c r="C30" s="23" t="n">
        <x:f>1</x:f>
        <x:v>1</x:v>
      </x:c>
      <x:c r="D30" s="23" t="n">
        <x:f>'МАИ сравнения'!J17</x:f>
        <x:v>0.6299605249474366</x:v>
      </x:c>
      <x:c r="E30" s="23" t="n">
        <x:f>'МАИ сравнения'!J18</x:f>
        <x:v>1.5874010519681994</x:v>
      </x:c>
      <x:c r="F30" s="23" t="n">
        <x:f>GEOMEAN(B30:E30)</x:f>
        <x:v>0.7673303861442218</x:v>
      </x:c>
      <x:c r="G30" s="23" t="n">
        <x:f>F30/SUM($F$29:$F$32)</x:f>
        <x:v>0.16695672842691006</x:v>
      </x:c>
      <x:c r="H30" s="23" t="n">
        <x:f>(B30*$G$29+C30*$G$30+D30*$G$31+E30*$G$32)/G30</x:f>
        <x:v>4.003387431447901</x:v>
      </x:c>
    </x:row>
    <x:row r="31" ht="23" customHeight="1">
      <x:c r="A31" s="2" t="str">
        <x:v>C</x:v>
      </x:c>
      <x:c r="B31" s="23" t="n">
        <x:f>1/'МАИ сравнения'!J15</x:f>
        <x:v>0.6299605249474366</x:v>
      </x:c>
      <x:c r="C31" s="23" t="n">
        <x:f>1/'МАИ сравнения'!J17</x:f>
        <x:v>1.5874010519681994</x:v>
      </x:c>
      <x:c r="D31" s="23" t="n">
        <x:f>1</x:f>
        <x:v>1</x:v>
      </x:c>
      <x:c r="E31" s="23" t="n">
        <x:f>'МАИ сравнения'!J19</x:f>
        <x:v>2.519842099789746</x:v>
      </x:c>
      <x:c r="F31" s="23" t="n">
        <x:f>GEOMEAN(B31:E31)</x:f>
        <x:v>1.2599210498948732</x:v>
      </x:c>
      <x:c r="G31" s="23" t="n">
        <x:f>F31/SUM($F$29:$F$32)</x:f>
        <x:v>0.27413523609256557</x:v>
      </x:c>
      <x:c r="H31" s="23" t="n">
        <x:f>(B31*$G$29+C31*$G$30+D31*$G$31+E31*$G$32)/G31</x:f>
        <x:v>4.001141788858982</x:v>
      </x:c>
    </x:row>
    <x:row r="32" ht="23" customHeight="1">
      <x:c r="A32" s="2" t="str">
        <x:v>D</x:v>
      </x:c>
      <x:c r="B32" s="23" t="n">
        <x:f>1/'МАИ сравнения'!J16</x:f>
        <x:v>0.25</x:v>
      </x:c>
      <x:c r="C32" s="23" t="n">
        <x:f>1/'МАИ сравнения'!J18</x:f>
        <x:v>0.6299605249474366</x:v>
      </x:c>
      <x:c r="D32" s="23" t="n">
        <x:f>1/'МАИ сравнения'!J19</x:f>
        <x:v>0.39685026299204995</x:v>
      </x:c>
      <x:c r="E32" s="23" t="n">
        <x:f>1</x:f>
        <x:v>1</x:v>
      </x:c>
      <x:c r="F32" s="23" t="n">
        <x:f>GEOMEAN(B32:E32)</x:f>
        <x:v>0.5000000000000001</x:v>
      </x:c>
      <x:c r="G32" s="23" t="n">
        <x:f>F32/SUM($F$29:$F$32)</x:f>
        <x:v>0.10879064053872235</x:v>
      </x:c>
      <x:c r="H32" s="23" t="n">
        <x:f>(B32*$G$29+C32*$G$30+D32*$G$31+E32*$G$32)/G32</x:f>
        <x:v>4.001141788858982</x:v>
      </x:c>
    </x:row>
    <x:row r="33" ht="23" customHeight="1">
      <x:c r="A33" s="2" t="str">
        <x:v>CR</x:v>
      </x:c>
      <x:c r="B33" s="23" t="n">
        <x:f>(AVERAGE(H29:H32)-4)/3/0.9</x:f>
        <x:v>0.0008458902364500071</x:v>
      </x:c>
      <x:c r="C33" s="2"/>
      <x:c r="D33" s="2"/>
      <x:c r="E33" s="2"/>
      <x:c r="F33" s="2"/>
      <x:c r="G33" s="2"/>
      <x:c r="H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  <x:row r="36" ht="23" customHeight="1">
      <x:c r="A36" s="22" t="str">
        <x:v>K2: концепции</x:v>
      </x:c>
      <x:c r="B36" s="22" t="str">
        <x:v>A</x:v>
      </x:c>
      <x:c r="C36" s="22" t="str">
        <x:v>B</x:v>
      </x:c>
      <x:c r="D36" s="22" t="str">
        <x:v>C</x:v>
      </x:c>
      <x:c r="E36" s="22" t="str">
        <x:v>D</x:v>
      </x:c>
      <x:c r="F36" s="22" t="str">
        <x:v>Геом. среднее</x:v>
      </x:c>
      <x:c r="G36" s="22" t="str">
        <x:v>Приоритет</x:v>
      </x:c>
      <x:c r="H36" s="22" t="str">
        <x:v>(A·w)/w</x:v>
      </x:c>
    </x:row>
    <x:row r="37" ht="23" customHeight="1">
      <x:c r="A37" s="2" t="str">
        <x:v>A</x:v>
      </x:c>
      <x:c r="B37" s="23" t="n">
        <x:f>1</x:f>
        <x:v>1</x:v>
      </x:c>
      <x:c r="C37" s="23" t="n">
        <x:f>'МАИ сравнения'!J20</x:f>
        <x:v>0.5</x:v>
      </x:c>
      <x:c r="D37" s="23" t="n">
        <x:f>'МАИ сравнения'!J21</x:f>
        <x:v>2</x:v>
      </x:c>
      <x:c r="E37" s="23" t="n">
        <x:f>'МАИ сравнения'!J22</x:f>
        <x:v>0.6299605249474366</x:v>
      </x:c>
      <x:c r="F37" s="23" t="n">
        <x:f>GEOMEAN(B37:E37)</x:f>
        <x:v>0.8908987181403393</x:v>
      </x:c>
      <x:c r="G37" s="23" t="n">
        <x:f>F37/SUM($F$37:$F$40)</x:f>
        <x:v>0.19594807063468617</x:v>
      </x:c>
      <x:c r="H37" s="23" t="n">
        <x:f>(B37*$G$37+C37*$G$38+D37*$G$39+E37*$G$40)/G37</x:f>
        <x:v>4.001141788858983</x:v>
      </x:c>
    </x:row>
    <x:row r="38" ht="23" customHeight="1">
      <x:c r="A38" s="2" t="str">
        <x:v>B</x:v>
      </x:c>
      <x:c r="B38" s="23" t="n">
        <x:f>1/'МАИ сравнения'!J20</x:f>
        <x:v>2</x:v>
      </x:c>
      <x:c r="C38" s="23" t="n">
        <x:f>1</x:f>
        <x:v>1</x:v>
      </x:c>
      <x:c r="D38" s="23" t="n">
        <x:f>'МАИ сравнения'!J23</x:f>
        <x:v>4</x:v>
      </x:c>
      <x:c r="E38" s="23" t="n">
        <x:f>'МАИ сравнения'!J24</x:f>
        <x:v>1.4422495703074083</x:v>
      </x:c>
      <x:c r="F38" s="23" t="n">
        <x:f>GEOMEAN(B38:E38)</x:f>
        <x:v>1.8430308351001363</x:v>
      </x:c>
      <x:c r="G38" s="23" t="n">
        <x:f>F38/SUM($F$37:$F$40)</x:f>
        <x:v>0.40536407663931295</x:v>
      </x:c>
      <x:c r="H38" s="23" t="n">
        <x:f>(B38*$G$37+C38*$G$38+D38*$G$39+E38*$G$40)/G38</x:f>
        <x:v>4.003464605387795</x:v>
      </x:c>
    </x:row>
    <x:row r="39" ht="23" customHeight="1">
      <x:c r="A39" s="2" t="str">
        <x:v>C</x:v>
      </x:c>
      <x:c r="B39" s="23" t="n">
        <x:f>1/'МАИ сравнения'!J21</x:f>
        <x:v>0.5</x:v>
      </x:c>
      <x:c r="C39" s="23" t="n">
        <x:f>1/'МАИ сравнения'!J23</x:f>
        <x:v>0.25</x:v>
      </x:c>
      <x:c r="D39" s="23" t="n">
        <x:f>1</x:f>
        <x:v>1</x:v>
      </x:c>
      <x:c r="E39" s="23" t="n">
        <x:f>'МАИ сравнения'!J25</x:f>
        <x:v>0.31498026247371835</x:v>
      </x:c>
      <x:c r="F39" s="23" t="n">
        <x:f>GEOMEAN(B39:E39)</x:f>
        <x:v>0.4454493590701697</x:v>
      </x:c>
      <x:c r="G39" s="23" t="n">
        <x:f>F39/SUM($F$37:$F$40)</x:f>
        <x:v>0.0979740353173431</x:v>
      </x:c>
      <x:c r="H39" s="23" t="n">
        <x:f>(B39*$G$37+C39*$G$38+D39*$G$39+E39*$G$40)/G39</x:f>
        <x:v>4.001141788858982</x:v>
      </x:c>
    </x:row>
    <x:row r="40" ht="23" customHeight="1">
      <x:c r="A40" s="2" t="str">
        <x:v>D</x:v>
      </x:c>
      <x:c r="B40" s="23" t="n">
        <x:f>1/'МАИ сравнения'!J22</x:f>
        <x:v>1.5874010519681994</x:v>
      </x:c>
      <x:c r="C40" s="23" t="n">
        <x:f>1/'МАИ сравнения'!J24</x:f>
        <x:v>0.6933612743506348</x:v>
      </x:c>
      <x:c r="D40" s="23" t="n">
        <x:f>1/'МАИ сравнения'!J25</x:f>
        <x:v>3.1748021039363983</x:v>
      </x:c>
      <x:c r="E40" s="23" t="n">
        <x:f>1</x:f>
        <x:v>1</x:v>
      </x:c>
      <x:c r="F40" s="23" t="n">
        <x:f>GEOMEAN(B40:E40)</x:f>
        <x:v>1.3672273148120375</x:v>
      </x:c>
      <x:c r="G40" s="23" t="n">
        <x:f>F40/SUM($F$37:$F$40)</x:f>
        <x:v>0.300713817408658</x:v>
      </x:c>
      <x:c r="H40" s="23" t="n">
        <x:f>(B40*$G$37+C40*$G$38+D40*$G$39+E40*$G$40)/G40</x:f>
        <x:v>4.0033874314479005</x:v>
      </x:c>
    </x:row>
    <x:row r="41" ht="23" customHeight="1">
      <x:c r="A41" s="2" t="str">
        <x:v>CR</x:v>
      </x:c>
      <x:c r="B41" s="23" t="n">
        <x:f>(AVERAGE(H37:H40)-4)/3/0.9</x:f>
        <x:v>0.0008458902364500071</x:v>
      </x:c>
      <x:c r="C41" s="2"/>
      <x:c r="D41" s="2"/>
      <x:c r="E41" s="2"/>
      <x:c r="F41" s="2"/>
      <x:c r="G41" s="2"/>
      <x:c r="H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</x:row>
    <x:row r="44" ht="23" customHeight="1">
      <x:c r="A44" s="22" t="str">
        <x:v>K3: концепции</x:v>
      </x:c>
      <x:c r="B44" s="22" t="str">
        <x:v>A</x:v>
      </x:c>
      <x:c r="C44" s="22" t="str">
        <x:v>B</x:v>
      </x:c>
      <x:c r="D44" s="22" t="str">
        <x:v>C</x:v>
      </x:c>
      <x:c r="E44" s="22" t="str">
        <x:v>D</x:v>
      </x:c>
      <x:c r="F44" s="22" t="str">
        <x:v>Геом. среднее</x:v>
      </x:c>
      <x:c r="G44" s="22" t="str">
        <x:v>Приоритет</x:v>
      </x:c>
      <x:c r="H44" s="22" t="str">
        <x:v>(A·w)/w</x:v>
      </x:c>
    </x:row>
    <x:row r="45" ht="23" customHeight="1">
      <x:c r="A45" s="2" t="str">
        <x:v>A</x:v>
      </x:c>
      <x:c r="B45" s="23" t="n">
        <x:f>1</x:f>
        <x:v>1</x:v>
      </x:c>
      <x:c r="C45" s="23" t="n">
        <x:f>'МАИ сравнения'!J26</x:f>
        <x:v>2</x:v>
      </x:c>
      <x:c r="D45" s="23" t="n">
        <x:f>'МАИ сравнения'!J27</x:f>
        <x:v>3.1748021039363983</x:v>
      </x:c>
      <x:c r="E45" s="23" t="n">
        <x:f>'МАИ сравнения'!J28</x:f>
        <x:v>2</x:v>
      </x:c>
      <x:c r="F45" s="23" t="n">
        <x:f>GEOMEAN(B45:E45)</x:f>
        <x:v>1.8877486253633868</x:v>
      </x:c>
      <x:c r="G45" s="23" t="n">
        <x:f>F45/SUM($F$45:$F$48)</x:f>
        <x:v>0.4290980006124808</x:v>
      </x:c>
      <x:c r="H45" s="23" t="n">
        <x:f>(B45*$G$45+C45*$G$46+D45*$G$47+E45*$G$48)/G45</x:f>
        <x:v>4.01021067367276</x:v>
      </x:c>
    </x:row>
    <x:row r="46" ht="23" customHeight="1">
      <x:c r="A46" s="2" t="str">
        <x:v>B</x:v>
      </x:c>
      <x:c r="B46" s="23" t="n">
        <x:f>1/'МАИ сравнения'!J26</x:f>
        <x:v>0.5</x:v>
      </x:c>
      <x:c r="C46" s="23" t="n">
        <x:f>1</x:f>
        <x:v>1</x:v>
      </x:c>
      <x:c r="D46" s="23" t="n">
        <x:f>'МАИ сравнения'!J29</x:f>
        <x:v>2</x:v>
      </x:c>
      <x:c r="E46" s="23" t="n">
        <x:f>'МАИ сравнения'!J30</x:f>
        <x:v>1.2599210498948732</x:v>
      </x:c>
      <x:c r="F46" s="23" t="n">
        <x:f>GEOMEAN(B46:E46)</x:f>
        <x:v>1.0594630943592953</x:v>
      </x:c>
      <x:c r="G46" s="23" t="n">
        <x:f>F46/SUM($F$45:$F$48)</x:f>
        <x:v>0.24082311034647094</x:v>
      </x:c>
      <x:c r="H46" s="23" t="n">
        <x:f>(B46*$G$45+C46*$G$46+D46*$G$47+E46*$G$48)/G46</x:f>
        <x:v>4.009824906858929</x:v>
      </x:c>
    </x:row>
    <x:row r="47" ht="23" customHeight="1">
      <x:c r="A47" s="2" t="str">
        <x:v>C</x:v>
      </x:c>
      <x:c r="B47" s="23" t="n">
        <x:f>1/'МАИ сравнения'!J27</x:f>
        <x:v>0.31498026247371835</x:v>
      </x:c>
      <x:c r="C47" s="23" t="n">
        <x:f>1/'МАИ сравнения'!J29</x:f>
        <x:v>0.5</x:v>
      </x:c>
      <x:c r="D47" s="23" t="n">
        <x:f>1</x:f>
        <x:v>1</x:v>
      </x:c>
      <x:c r="E47" s="23" t="n">
        <x:f>'МАИ сравнения'!J31</x:f>
        <x:v>0.6299605249474366</x:v>
      </x:c>
      <x:c r="F47" s="23" t="n">
        <x:f>GEOMEAN(B47:E47)</x:f>
        <x:v>0.5612310241546865</x:v>
      </x:c>
      <x:c r="G47" s="23" t="n">
        <x:f>F47/SUM($F$45:$F$48)</x:f>
        <x:v>0.12757159884045105</x:v>
      </x:c>
      <x:c r="H47" s="23" t="n">
        <x:f>(B47*$G$45+C47*$G$46+D47*$G$47+E47*$G$48)/G47</x:f>
        <x:v>4.003337407040989</x:v>
      </x:c>
    </x:row>
    <x:row r="48" ht="23" customHeight="1">
      <x:c r="A48" s="2" t="str">
        <x:v>D</x:v>
      </x:c>
      <x:c r="B48" s="23" t="n">
        <x:f>1/'МАИ сравнения'!J28</x:f>
        <x:v>0.5</x:v>
      </x:c>
      <x:c r="C48" s="23" t="n">
        <x:f>1/'МАИ сравнения'!J30</x:f>
        <x:v>0.7937005259840997</x:v>
      </x:c>
      <x:c r="D48" s="23" t="n">
        <x:f>1/'МАИ сравнения'!J31</x:f>
        <x:v>1.5874010519681994</x:v>
      </x:c>
      <x:c r="E48" s="23" t="n">
        <x:f>1</x:f>
        <x:v>1</x:v>
      </x:c>
      <x:c r="F48" s="23" t="n">
        <x:f>GEOMEAN(B48:E48)</x:f>
        <x:v>0.8908987181403393</x:v>
      </x:c>
      <x:c r="G48" s="23" t="n">
        <x:f>F48/SUM($F$45:$F$48)</x:f>
        <x:v>0.20250729020059713</x:v>
      </x:c>
      <x:c r="H48" s="23" t="n">
        <x:f>(B48*$G$45+C48*$G$46+D48*$G$47+E48*$G$48)/G48</x:f>
        <x:v>4.003337407040989</x:v>
      </x:c>
    </x:row>
    <x:row r="49" ht="23" customHeight="1">
      <x:c r="A49" s="2" t="str">
        <x:v>CR</x:v>
      </x:c>
      <x:c r="B49" s="23" t="n">
        <x:f>(AVERAGE(H45:H48)-4)/3/0.9</x:f>
        <x:v>0.002473184686450533</x:v>
      </x:c>
      <x:c r="C49" s="2"/>
      <x:c r="D49" s="2"/>
      <x:c r="E49" s="2"/>
      <x:c r="F49" s="2"/>
      <x:c r="G49" s="2"/>
      <x:c r="H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</x:row>
    <x:row r="52" ht="23" customHeight="1">
      <x:c r="A52" s="22" t="str">
        <x:v>K4: концепции</x:v>
      </x:c>
      <x:c r="B52" s="22" t="str">
        <x:v>A</x:v>
      </x:c>
      <x:c r="C52" s="22" t="str">
        <x:v>B</x:v>
      </x:c>
      <x:c r="D52" s="22" t="str">
        <x:v>C</x:v>
      </x:c>
      <x:c r="E52" s="22" t="str">
        <x:v>D</x:v>
      </x:c>
      <x:c r="F52" s="22" t="str">
        <x:v>Геом. среднее</x:v>
      </x:c>
      <x:c r="G52" s="22" t="str">
        <x:v>Приоритет</x:v>
      </x:c>
      <x:c r="H52" s="22" t="str">
        <x:v>(A·w)/w</x:v>
      </x:c>
    </x:row>
    <x:row r="53" ht="23" customHeight="1">
      <x:c r="A53" s="2" t="str">
        <x:v>A</x:v>
      </x:c>
      <x:c r="B53" s="23" t="n">
        <x:f>1</x:f>
        <x:v>1</x:v>
      </x:c>
      <x:c r="C53" s="23" t="n">
        <x:f>'МАИ сравнения'!J32</x:f>
        <x:v>1.5874010519681994</x:v>
      </x:c>
      <x:c r="D53" s="23" t="n">
        <x:f>'МАИ сравнения'!J33</x:f>
        <x:v>3.1748021039363983</x:v>
      </x:c>
      <x:c r="E53" s="23" t="n">
        <x:f>'МАИ сравнения'!J34</x:f>
        <x:v>3.1748021039363983</x:v>
      </x:c>
      <x:c r="F53" s="23" t="n">
        <x:f>GEOMEAN(B53:E53)</x:f>
        <x:v>1.9999999999999998</x:v>
      </x:c>
      <x:c r="G53" s="23" t="n">
        <x:f>F53/SUM($F$53:$F$56)</x:f>
        <x:v>0.4424229274038621</x:v>
      </x:c>
      <x:c r="H53" s="23" t="n">
        <x:f>(B53*$G$53+C53*$G$54+D53*$G$55+E53*$G$56)/G53</x:f>
        <x:v>4.001141788858983</x:v>
      </x:c>
    </x:row>
    <x:row r="54" ht="23" customHeight="1">
      <x:c r="A54" s="2" t="str">
        <x:v>B</x:v>
      </x:c>
      <x:c r="B54" s="23" t="n">
        <x:f>1/'МАИ сравнения'!J32</x:f>
        <x:v>0.6299605249474366</x:v>
      </x:c>
      <x:c r="C54" s="23" t="n">
        <x:f>1</x:f>
        <x:v>1</x:v>
      </x:c>
      <x:c r="D54" s="23" t="n">
        <x:f>'МАИ сравнения'!J35</x:f>
        <x:v>2</x:v>
      </x:c>
      <x:c r="E54" s="23" t="n">
        <x:f>'МАИ сравнения'!J36</x:f>
        <x:v>2</x:v>
      </x:c>
      <x:c r="F54" s="23" t="n">
        <x:f>GEOMEAN(B54:E54)</x:f>
        <x:v>1.2599210498948732</x:v>
      </x:c>
      <x:c r="G54" s="23" t="n">
        <x:f>F54/SUM($F$53:$F$56)</x:f>
        <x:v>0.2787089795961186</x:v>
      </x:c>
      <x:c r="H54" s="23" t="n">
        <x:f>(B54*$G$53+C54*$G$54+D54*$G$55+E54*$G$56)/G54</x:f>
        <x:v>4.001141788858983</x:v>
      </x:c>
    </x:row>
    <x:row r="55" ht="23" customHeight="1">
      <x:c r="A55" s="2" t="str">
        <x:v>C</x:v>
      </x:c>
      <x:c r="B55" s="23" t="n">
        <x:f>1/'МАИ сравнения'!J33</x:f>
        <x:v>0.31498026247371835</x:v>
      </x:c>
      <x:c r="C55" s="23" t="n">
        <x:f>1/'МАИ сравнения'!J35</x:f>
        <x:v>0.5</x:v>
      </x:c>
      <x:c r="D55" s="23" t="n">
        <x:f>1</x:f>
        <x:v>1</x:v>
      </x:c>
      <x:c r="E55" s="23" t="n">
        <x:f>'МАИ сравнения'!J37</x:f>
        <x:v>1.1447142425533319</x:v>
      </x:c>
      <x:c r="F55" s="23" t="n">
        <x:f>GEOMEAN(B55:E55)</x:f>
        <x:v>0.6516098007176061</x:v>
      </x:c>
      <x:c r="G55" s="23" t="n">
        <x:f>F55/SUM($F$53:$F$56)</x:f>
        <x:v>0.14414355777926527</x:v>
      </x:c>
      <x:c r="H55" s="23" t="n">
        <x:f>(B55*$G$53+C55*$G$54+D55*$G$55+E55*$G$56)/G55</x:f>
        <x:v>4.003464605387795</x:v>
      </x:c>
    </x:row>
    <x:row r="56" ht="23" customHeight="1">
      <x:c r="A56" s="2" t="str">
        <x:v>D</x:v>
      </x:c>
      <x:c r="B56" s="23" t="n">
        <x:f>1/'МАИ сравнения'!J34</x:f>
        <x:v>0.31498026247371835</x:v>
      </x:c>
      <x:c r="C56" s="23" t="n">
        <x:f>1/'МАИ сравнения'!J36</x:f>
        <x:v>0.5</x:v>
      </x:c>
      <x:c r="D56" s="23" t="n">
        <x:f>1/'МАИ сравнения'!J37</x:f>
        <x:v>0.8735804647362989</x:v>
      </x:c>
      <x:c r="E56" s="23" t="n">
        <x:f>1</x:f>
        <x:v>1</x:v>
      </x:c>
      <x:c r="F56" s="23" t="n">
        <x:f>GEOMEAN(B56:E56)</x:f>
        <x:v>0.6090305310862513</x:v>
      </x:c>
      <x:c r="G56" s="23" t="n">
        <x:f>F56/SUM($F$53:$F$56)</x:f>
        <x:v>0.13472453522075406</x:v>
      </x:c>
      <x:c r="H56" s="23" t="n">
        <x:f>(B56*$G$53+C56*$G$54+D56*$G$55+E56*$G$56)/G56</x:f>
        <x:v>4.0033874314479005</x:v>
      </x:c>
    </x:row>
    <x:row r="57" ht="23" customHeight="1">
      <x:c r="A57" s="2" t="str">
        <x:v>CR</x:v>
      </x:c>
      <x:c r="B57" s="23" t="n">
        <x:f>(AVERAGE(H53:H56)-4)/3/0.9</x:f>
        <x:v>0.000845890236450336</x:v>
      </x:c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44163"/>
  </x:sheetPr>
  <x:sheetViews>
    <x:sheetView showGridLines="0" workbookViewId="0"/>
  </x:sheetViews>
  <x:sheetFormatPr defaultRowHeight="15"/>
  <x:cols>
    <x:col min="1" max="1" width="28" hidden="0" customWidth="1"/>
    <x:col min="2" max="2" width="60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9" customHeight="1">
      <x:c r="A2" s="3" t="str">
        <x:v>Итог выбора концепции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2" t="str">
        <x:v>По согласованным оценкам оба метода выбирают концепцию A — бронирование оборудования в вузе.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2" customHeight="1">
      <x:c r="A6" s="22" t="str">
        <x:v>Концепция</x:v>
      </x:c>
      <x:c r="B6" s="22" t="str">
        <x:v>TOPSIS близость</x:v>
      </x:c>
      <x:c r="C6" s="22" t="str">
        <x:v>TOPSIS место</x:v>
      </x:c>
      <x:c r="D6" s="22" t="str">
        <x:v>МАИ приоритет</x:v>
      </x:c>
      <x:c r="E6" s="22" t="str">
        <x:v>МАИ место</x:v>
      </x:c>
      <x:c r="F6" s="2"/>
      <x:c r="G6" s="2"/>
    </x:row>
    <x:row r="7">
      <x:c r="A7" s="2" t="str">
        <x:v>A</x:v>
      </x:c>
      <x:c r="B7" s="23" t="n">
        <x:f>'TOPSIS расчёт'!D6</x:f>
        <x:v>0.792511430585539</x:v>
      </x:c>
      <x:c r="C7" s="2" t="n">
        <x:f>'TOPSIS расчёт'!E6</x:f>
        <x:v>1</x:v>
      </x:c>
      <x:c r="D7" s="23" t="n">
        <x:f>'МАИ расчёт'!B6</x:f>
        <x:v>0.37598857537034847</x:v>
      </x:c>
      <x:c r="E7" s="2" t="n">
        <x:f>'МАИ расчёт'!G6</x:f>
        <x:v>1</x:v>
      </x:c>
      <x:c r="F7" s="2"/>
      <x:c r="G7" s="2"/>
    </x:row>
    <x:row r="8">
      <x:c r="A8" s="2" t="str">
        <x:v>B</x:v>
      </x:c>
      <x:c r="B8" s="23" t="n">
        <x:f>'TOPSIS расчёт'!D7</x:f>
        <x:v>0.734196264320959</x:v>
      </x:c>
      <x:c r="C8" s="2" t="n">
        <x:f>'TOPSIS расчёт'!E7</x:f>
        <x:v>2</x:v>
      </x:c>
      <x:c r="D8" s="23" t="n">
        <x:f>'МАИ расчёт'!B7</x:f>
        <x:v>0.272321038711284</x:v>
      </x:c>
      <x:c r="E8" s="2" t="n">
        <x:f>'МАИ расчёт'!G7</x:f>
        <x:v>2</x:v>
      </x:c>
      <x:c r="F8" s="2"/>
      <x:c r="G8" s="2"/>
    </x:row>
    <x:row r="9">
      <x:c r="A9" s="2" t="str">
        <x:v>C</x:v>
      </x:c>
      <x:c r="B9" s="23" t="n">
        <x:f>'TOPSIS расчёт'!D8</x:f>
        <x:v>0.702284924388453</x:v>
      </x:c>
      <x:c r="C9" s="2" t="n">
        <x:f>'TOPSIS расчёт'!E8</x:f>
        <x:v>4</x:v>
      </x:c>
      <x:c r="D9" s="23" t="n">
        <x:f>'МАИ расчёт'!B8</x:f>
        <x:v>0.1616832756743949</x:v>
      </x:c>
      <x:c r="E9" s="2" t="n">
        <x:f>'МАИ расчёт'!G8</x:f>
        <x:v>4</x:v>
      </x:c>
      <x:c r="F9" s="2"/>
      <x:c r="G9" s="2"/>
    </x:row>
    <x:row r="10">
      <x:c r="A10" s="2" t="str">
        <x:v>D</x:v>
      </x:c>
      <x:c r="B10" s="23" t="n">
        <x:f>'TOPSIS расчёт'!D9</x:f>
        <x:v>0.7253905710875675</x:v>
      </x:c>
      <x:c r="C10" s="2" t="n">
        <x:f>'TOPSIS расчёт'!E9</x:f>
        <x:v>3</x:v>
      </x:c>
      <x:c r="D10" s="23" t="n">
        <x:f>'МАИ расчёт'!B9</x:f>
        <x:v>0.19000711024397252</x:v>
      </x:c>
      <x:c r="E10" s="2" t="n">
        <x:f>'МАИ расчёт'!G9</x:f>
        <x:v>3</x:v>
      </x:c>
      <x:c r="F10" s="2"/>
      <x:c r="G10" s="2"/>
    </x:row>
    <x:row r="11">
      <x:c r="A11" s="2"/>
      <x:c r="B11" s="2"/>
      <x:c r="C11" s="2"/>
      <x:c r="D11" s="2"/>
      <x:c r="E11" s="2"/>
      <x:c r="F11" s="2"/>
      <x:c r="G11" s="2"/>
    </x:row>
    <x:row r="12">
      <x:c r="A12" s="2"/>
      <x:c r="B12" s="2"/>
      <x:c r="C12" s="2"/>
      <x:c r="D12" s="2"/>
      <x:c r="E12" s="2"/>
      <x:c r="F12" s="2"/>
      <x:c r="G12" s="2"/>
    </x:row>
    <x:row r="13" ht="24" customHeight="1">
      <x:c r="A13" s="27" t="str">
        <x:v>Результат согласованных оценок</x:v>
      </x:c>
      <x:c r="B13" s="27"/>
      <x:c r="C13" s="27"/>
      <x:c r="D13" s="27"/>
      <x:c r="E13" s="27"/>
      <x:c r="F13" s="2"/>
      <x:c r="G13" s="2"/>
    </x:row>
    <x:row r="14">
      <x:c r="A14" s="2" t="str">
        <x:v>Первое место TOPSIS</x:v>
      </x:c>
      <x:c r="B14" s="2" t="str">
        <x:f>INDEX(A7:A10,MATCH(1,C7:C10,0))</x:f>
        <x:v>A</x:v>
      </x:c>
      <x:c r="C14" s="2"/>
      <x:c r="D14" s="2"/>
      <x:c r="E14" s="2"/>
      <x:c r="F14" s="2"/>
      <x:c r="G14" s="2"/>
    </x:row>
    <x:row r="15">
      <x:c r="A15" s="2" t="str">
        <x:v>Первое место МАИ</x:v>
      </x:c>
      <x:c r="B15" s="2" t="str">
        <x:f>INDEX(A7:A10,MATCH(1,E7:E10,0))</x:f>
        <x:v>A</x:v>
      </x:c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>
      <x:c r="A17" s="2" t="str">
        <x:v>Окончательный выбор</x:v>
      </x:c>
      <x:c r="B17" s="2" t="str">
        <x:f>IF(B14=B15,B14,"Нужен разбор расхождения")</x:f>
        <x:v>A</x:v>
      </x:c>
      <x:c r="C17" s="2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  <x:row r="19" ht="34" customHeight="1">
      <x:c r="A19" s="2" t="str">
        <x:v>Следующее действие</x:v>
      </x:c>
      <x:c r="B19" s="8" t="str">
        <x:v>Команда проверяет концепции, подставляет личные оценки и подтверждает RACI и фактическое время.</x:v>
      </x:c>
      <x:c r="C19" s="2"/>
      <x:c r="D19" s="2"/>
      <x:c r="E19" s="2"/>
      <x:c r="F19" s="2"/>
      <x:c r="G19" s="2"/>
    </x:row>
    <x:row r="20">
      <x:c r="A20" s="2"/>
      <x:c r="B20" s="2"/>
      <x:c r="C20" s="2"/>
      <x:c r="D20" s="2"/>
      <x:c r="E20" s="2"/>
      <x:c r="F20" s="2"/>
      <x:c r="G20" s="2"/>
    </x:row>
  </x:sheetData>
  <x:pageMargins left="0.7" right="0.7" top="0.75" bottom="0.75" header="0.3" footer="0.3"/>
</x:worksheet>
</file>